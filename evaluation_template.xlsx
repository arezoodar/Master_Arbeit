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mc:AlternateContent xmlns:mc="http://schemas.openxmlformats.org/markup-compatibility/2006">
    <mc:Choice Requires="x15">
      <x15ac:absPath xmlns:x15ac="http://schemas.microsoft.com/office/spreadsheetml/2010/11/ac" url="/Users/arezoodarvishi/Desktop/thesis/Thesis Sheet/"/>
    </mc:Choice>
  </mc:AlternateContent>
  <xr:revisionPtr revIDLastSave="0" documentId="13_ncr:1_{CE52B65F-6545-C644-9E17-8D46A5931DBE}" xr6:coauthVersionLast="47" xr6:coauthVersionMax="47" xr10:uidLastSave="{00000000-0000-0000-0000-000000000000}"/>
  <bookViews>
    <workbookView xWindow="1700" yWindow="2020" windowWidth="42080" windowHeight="22280" tabRatio="500" xr2:uid="{00000000-000D-0000-FFFF-FFFF00000000}"/>
  </bookViews>
  <sheets>
    <sheet name="Evaluation Data" sheetId="1" r:id="rId1"/>
    <sheet name="Metriken" sheetId="2" r:id="rId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20" i="2" l="1"/>
  <c r="D20" i="2"/>
  <c r="C20" i="2"/>
  <c r="B20" i="2"/>
  <c r="E16" i="2"/>
  <c r="D16" i="2"/>
  <c r="C16" i="2"/>
  <c r="B16" i="2"/>
  <c r="E15" i="2"/>
  <c r="D15" i="2"/>
  <c r="C15" i="2"/>
  <c r="B15" i="2"/>
  <c r="E12" i="2"/>
  <c r="D12" i="2"/>
  <c r="C12" i="2"/>
  <c r="B12" i="2"/>
  <c r="E9" i="2"/>
  <c r="D9" i="2"/>
  <c r="C9" i="2"/>
  <c r="B9" i="2"/>
  <c r="E8" i="2"/>
  <c r="D8" i="2"/>
  <c r="C8" i="2"/>
  <c r="B8" i="2"/>
  <c r="E5" i="2"/>
  <c r="D5" i="2"/>
  <c r="C5" i="2"/>
  <c r="B5" i="2"/>
  <c r="E4" i="2"/>
  <c r="D4" i="2"/>
  <c r="C4" i="2"/>
  <c r="B4" i="2"/>
  <c r="E17" i="2" l="1"/>
  <c r="D17" i="2"/>
  <c r="B17" i="2"/>
  <c r="C17" i="2"/>
</calcChain>
</file>

<file path=xl/sharedStrings.xml><?xml version="1.0" encoding="utf-8"?>
<sst xmlns="http://schemas.openxmlformats.org/spreadsheetml/2006/main" count="1631" uniqueCount="662">
  <si>
    <t>👤 Ground Truth</t>
  </si>
  <si>
    <t>🟢 GPT-4o</t>
  </si>
  <si>
    <t>🟣 Claude</t>
  </si>
  <si>
    <t>⚫ Llama 4</t>
  </si>
  <si>
    <t>🟠 CLIP</t>
  </si>
  <si>
    <t>Nr</t>
  </si>
  <si>
    <t>Image ID</t>
  </si>
  <si>
    <t>Kategorie</t>
  </si>
  <si>
    <t>Gegenstand</t>
  </si>
  <si>
    <t>Material</t>
  </si>
  <si>
    <t>Zustand</t>
  </si>
  <si>
    <t>Recycelbar</t>
  </si>
  <si>
    <t>Empfehlung</t>
  </si>
  <si>
    <t>G✓
(1/0)</t>
  </si>
  <si>
    <t>M✓
(1/0)</t>
  </si>
  <si>
    <t>Emp
(1-3)</t>
  </si>
  <si>
    <t>Elektronik_01</t>
  </si>
  <si>
    <t>Elektronik</t>
  </si>
  <si>
    <t>Elektronik_02</t>
  </si>
  <si>
    <t>Elektronik_03</t>
  </si>
  <si>
    <t>Elektronik_04</t>
  </si>
  <si>
    <t>Elektronik_05</t>
  </si>
  <si>
    <t>Elektronik_06</t>
  </si>
  <si>
    <t>Elektronik_07</t>
  </si>
  <si>
    <t>Elektronik_08</t>
  </si>
  <si>
    <t>Elektronik_09</t>
  </si>
  <si>
    <t>Elektronik_10</t>
  </si>
  <si>
    <t>Elektronik_11</t>
  </si>
  <si>
    <t>Home_01</t>
  </si>
  <si>
    <t>Home</t>
  </si>
  <si>
    <t>Home_02</t>
  </si>
  <si>
    <t>Home_03</t>
  </si>
  <si>
    <t>Home_04</t>
  </si>
  <si>
    <t>Home_05</t>
  </si>
  <si>
    <t>Home_06</t>
  </si>
  <si>
    <t>Home_07</t>
  </si>
  <si>
    <t>Home_08</t>
  </si>
  <si>
    <t>Home_09</t>
  </si>
  <si>
    <t>Home_10</t>
  </si>
  <si>
    <t>Home_11</t>
  </si>
  <si>
    <t>Home_12</t>
  </si>
  <si>
    <t>Kleidung_01</t>
  </si>
  <si>
    <t>Kleidung</t>
  </si>
  <si>
    <t>Kleidung_02</t>
  </si>
  <si>
    <t>Kleidung_03</t>
  </si>
  <si>
    <t>Kleidung_04</t>
  </si>
  <si>
    <t>Kleidung_05</t>
  </si>
  <si>
    <t>Kleidung_06</t>
  </si>
  <si>
    <t>Kleidung_07</t>
  </si>
  <si>
    <t>Kleidung_08</t>
  </si>
  <si>
    <t>Kleidung_09</t>
  </si>
  <si>
    <t>Kleidung_10</t>
  </si>
  <si>
    <t>Küche_01</t>
  </si>
  <si>
    <t>Küche</t>
  </si>
  <si>
    <t>Küche_02</t>
  </si>
  <si>
    <t>Küche_03</t>
  </si>
  <si>
    <t>Küche_04</t>
  </si>
  <si>
    <t>Küche_05</t>
  </si>
  <si>
    <t>Küche_05a</t>
  </si>
  <si>
    <t>Küche_06</t>
  </si>
  <si>
    <t>Küche_07</t>
  </si>
  <si>
    <t>Küche_08</t>
  </si>
  <si>
    <t>Küche_08a</t>
  </si>
  <si>
    <t>Küche_09</t>
  </si>
  <si>
    <t>Küche_10</t>
  </si>
  <si>
    <t>Möbel_01</t>
  </si>
  <si>
    <t>Möbel</t>
  </si>
  <si>
    <t>Möbel_02</t>
  </si>
  <si>
    <t>Möbel_03</t>
  </si>
  <si>
    <t>Möbel_04</t>
  </si>
  <si>
    <t>Möbel_05</t>
  </si>
  <si>
    <t>Möbel_06</t>
  </si>
  <si>
    <t>Möbel_07</t>
  </si>
  <si>
    <t>Möbel_08</t>
  </si>
  <si>
    <t>Möbel_09</t>
  </si>
  <si>
    <t>Möbel_10</t>
  </si>
  <si>
    <t>Möbel_11</t>
  </si>
  <si>
    <t>Möbel_12</t>
  </si>
  <si>
    <t>Möbel_13</t>
  </si>
  <si>
    <t>📊 Evaluation Metriken — 58 Bilder</t>
  </si>
  <si>
    <t>Metrik / Parameter</t>
  </si>
  <si>
    <t>GPT-4o</t>
  </si>
  <si>
    <t>Claude</t>
  </si>
  <si>
    <t>Llama 4</t>
  </si>
  <si>
    <t>CLIP</t>
  </si>
  <si>
    <t>Zustand Accuracy</t>
  </si>
  <si>
    <t>Recycelbar Accuracy</t>
  </si>
  <si>
    <t>Gegenstand Accuracy</t>
  </si>
  <si>
    <t>Material Accuracy</t>
  </si>
  <si>
    <t>MAE Zustand</t>
  </si>
  <si>
    <t>Precision</t>
  </si>
  <si>
    <t>Recall</t>
  </si>
  <si>
    <t>F1-Score</t>
  </si>
  <si>
    <t>Ø Relevanz-Score</t>
  </si>
  <si>
    <t>Schnurlostelefon</t>
  </si>
  <si>
    <t>Smartphone</t>
  </si>
  <si>
    <t>Haartrockner</t>
  </si>
  <si>
    <t>Laptop</t>
  </si>
  <si>
    <t>Geschirrspüler</t>
  </si>
  <si>
    <t>Kabelloser Staubsauger</t>
  </si>
  <si>
    <t>Waschmaschine</t>
  </si>
  <si>
    <t>Staubsauger </t>
  </si>
  <si>
    <t>Spülmaschine</t>
  </si>
  <si>
    <t>TV</t>
  </si>
  <si>
    <t>Holzregal</t>
  </si>
  <si>
    <t>Staffelei</t>
  </si>
  <si>
    <t>Gemälde</t>
  </si>
  <si>
    <t>Kugelschreiber</t>
  </si>
  <si>
    <t>Künstlich pflanzentopf</t>
  </si>
  <si>
    <t>Pendelleuchte </t>
  </si>
  <si>
    <t>Kaminuhr </t>
  </si>
  <si>
    <t>Kosmetikspiegel / Standspiegel</t>
  </si>
  <si>
    <t>Shisha</t>
  </si>
  <si>
    <t>Keramikvase</t>
  </si>
  <si>
    <t>Hängeleuchte</t>
  </si>
  <si>
    <t>Topfpflanze</t>
  </si>
  <si>
    <t>Jacke</t>
  </si>
  <si>
    <t>Baby-set</t>
  </si>
  <si>
    <t>Jeans</t>
  </si>
  <si>
    <t>Langarmshirt</t>
  </si>
  <si>
    <t>Stiefel</t>
  </si>
  <si>
    <t>Damenkleid</t>
  </si>
  <si>
    <t>Damenjacke</t>
  </si>
  <si>
    <t>Jeans </t>
  </si>
  <si>
    <t>Blazer</t>
  </si>
  <si>
    <t>Tunika</t>
  </si>
  <si>
    <t>Thermoskanne </t>
  </si>
  <si>
    <t>Kochtopf</t>
  </si>
  <si>
    <t>Glasauflaufform</t>
  </si>
  <si>
    <t>Schneebesen</t>
  </si>
  <si>
    <t>Teller</t>
  </si>
  <si>
    <t>Genaue Teller aber mit Background</t>
  </si>
  <si>
    <t>Reiskocher</t>
  </si>
  <si>
    <t>Schnellkochtopf</t>
  </si>
  <si>
    <t>Messbecher aber andere Position</t>
  </si>
  <si>
    <t>Messbecher </t>
  </si>
  <si>
    <t>Glas</t>
  </si>
  <si>
    <t>Wasserkocher</t>
  </si>
  <si>
    <t>Esszimmerstuhl</t>
  </si>
  <si>
    <t>Ecksofa </t>
  </si>
  <si>
    <t>Sideboard</t>
  </si>
  <si>
    <t>Ecksofa</t>
  </si>
  <si>
    <t>Küchenstuhl</t>
  </si>
  <si>
    <t>Barschrank</t>
  </si>
  <si>
    <t>Kleiderschrank</t>
  </si>
  <si>
    <t>Schuhschrank</t>
  </si>
  <si>
    <t>Kommode / Schubladenschrank</t>
  </si>
  <si>
    <t>Konsoltisch</t>
  </si>
  <si>
    <t>Sessel</t>
  </si>
  <si>
    <t>Sofa</t>
  </si>
  <si>
    <t>Kunststoff , Elektronik, Metall, Display</t>
  </si>
  <si>
    <t>Glas, metall , Kunststoff</t>
  </si>
  <si>
    <t>Kunststoff , Metall</t>
  </si>
  <si>
    <t>Metall, Kunststoff, Glas</t>
  </si>
  <si>
    <t>Metall, Kunststoff </t>
  </si>
  <si>
    <t>Kunststoff,Metall</t>
  </si>
  <si>
    <t>Stahl, Kunststoff, Gummi, Glas</t>
  </si>
  <si>
    <t>Kunststoff , Metall , Gummi</t>
  </si>
  <si>
    <t>Edelstahl, Kunststoff, Metall</t>
  </si>
  <si>
    <t>Kunststoff, Glas, Metall</t>
  </si>
  <si>
    <t>Edelstahl , Kunststoff, Metall</t>
  </si>
  <si>
    <t>Holz</t>
  </si>
  <si>
    <t>Holz, Leinwand oder Papier</t>
  </si>
  <si>
    <t>Kunststoff</t>
  </si>
  <si>
    <t>Keramik,plastik</t>
  </si>
  <si>
    <t>Metall</t>
  </si>
  <si>
    <t>Metall </t>
  </si>
  <si>
    <t>Metall, Glas</t>
  </si>
  <si>
    <t>Glas, metall</t>
  </si>
  <si>
    <t>Keramik</t>
  </si>
  <si>
    <t>Kunststoff ,Pflanze</t>
  </si>
  <si>
    <t>Baumwolle/Polyester</t>
  </si>
  <si>
    <t>Baumwolle</t>
  </si>
  <si>
    <t>Polyester/Viskose</t>
  </si>
  <si>
    <t>Kunstleder</t>
  </si>
  <si>
    <t> Polyester </t>
  </si>
  <si>
    <t>Wolle</t>
  </si>
  <si>
    <t>Baumwolle </t>
  </si>
  <si>
    <t>Edelstahl</t>
  </si>
  <si>
    <t>Zink</t>
  </si>
  <si>
    <t>Edelstahl,Plastik</t>
  </si>
  <si>
    <t>Kristall</t>
  </si>
  <si>
    <t>Mikrofaser</t>
  </si>
  <si>
    <t>Polyester , Holz</t>
  </si>
  <si>
    <t>Massivholz</t>
  </si>
  <si>
    <t>Holz, Polyester/Mikrofaser</t>
  </si>
  <si>
    <t>Metall, schaumstoff</t>
  </si>
  <si>
    <t>Massivholz </t>
  </si>
  <si>
    <t>Spanplatte,Holz</t>
  </si>
  <si>
    <t>Spanplatte, Holz</t>
  </si>
  <si>
    <t>Mikrofasergewebe, Schaumstoff, Holz</t>
  </si>
  <si>
    <t>Holzrahmen, Schaumstoff,Polyester</t>
  </si>
  <si>
    <t>gut</t>
  </si>
  <si>
    <t>schlecht</t>
  </si>
  <si>
    <t>mittel</t>
  </si>
  <si>
    <t>Mittel</t>
  </si>
  <si>
    <t>Schlecht</t>
  </si>
  <si>
    <t>Elektroschrott</t>
  </si>
  <si>
    <t>Gerät funktionsfähig, Weiterverkauf oder Spende</t>
  </si>
  <si>
    <t>Weiterverkauf oder Spende empfohlen</t>
  </si>
  <si>
    <t>Wertstoffhof bringen  oder Weitergabe über Kleinanzeigen</t>
  </si>
  <si>
    <t>Weiterverkauf oder Spende empfohlen.</t>
  </si>
  <si>
    <t>Verschenken</t>
  </si>
  <si>
    <t>Wertstoffhof ,Verkauf/Spende über Kleinanzeigen</t>
  </si>
  <si>
    <t>Verkauf</t>
  </si>
  <si>
    <t>Weiterverkauf oder verschenken</t>
  </si>
  <si>
    <t> weiterverkauft oder verschenken</t>
  </si>
  <si>
    <t>Weiterverkauf</t>
  </si>
  <si>
    <t>Restmüll</t>
  </si>
  <si>
    <t>Textilsammlung ,verschenken</t>
  </si>
  <si>
    <t>Weiterverkauf </t>
  </si>
  <si>
    <t>Altkleidersammlung</t>
  </si>
  <si>
    <t>Müll</t>
  </si>
  <si>
    <t>Spermüll</t>
  </si>
  <si>
    <t>Gelbe Tonne</t>
  </si>
  <si>
    <t>Eine ist beschädigt und kann verschenken oder Sperrmüll, andere kann weiterverkauf</t>
  </si>
  <si>
    <t>Verschenken, Sperrmüll </t>
  </si>
  <si>
    <t>Schnurloses Telefon</t>
  </si>
  <si>
    <t>Geschirrspülmaschine</t>
  </si>
  <si>
    <t>kabelloser Staubsauger</t>
  </si>
  <si>
    <t>Staubsauger</t>
  </si>
  <si>
    <t>Fernseher</t>
  </si>
  <si>
    <t>Regal</t>
  </si>
  <si>
    <t>Malerstaffelei</t>
  </si>
  <si>
    <t>Gemälde einer Waldszene</t>
  </si>
  <si>
    <t>kleiner Topf mit Pflanze</t>
  </si>
  <si>
    <t>Hängelampe</t>
  </si>
  <si>
    <t>Standuhr</t>
  </si>
  <si>
    <t>Schminkspiegel</t>
  </si>
  <si>
    <t>Dekorativer Keramikvase</t>
  </si>
  <si>
    <t>Lampe</t>
  </si>
  <si>
    <t>Kinderkleidungsset</t>
  </si>
  <si>
    <t>Langarmshirt mit Hirschmotiv</t>
  </si>
  <si>
    <t>Kleid</t>
  </si>
  <si>
    <t>Herrenjacke</t>
  </si>
  <si>
    <t>Kleidungsstück</t>
  </si>
  <si>
    <t>Thermoskanne</t>
  </si>
  <si>
    <t>Kochtopf mit Deckel</t>
  </si>
  <si>
    <t>Glas-Auflaufform</t>
  </si>
  <si>
    <t>Messbecher</t>
  </si>
  <si>
    <t>Glasbecher</t>
  </si>
  <si>
    <t>Stuhl</t>
  </si>
  <si>
    <t>Holzkommode</t>
  </si>
  <si>
    <t>Schrank</t>
  </si>
  <si>
    <t>Kommode</t>
  </si>
  <si>
    <t>Tisch mit Schubladen</t>
  </si>
  <si>
    <t>Sessel mit Polsterung</t>
  </si>
  <si>
    <t>Kunststoff, Metall</t>
  </si>
  <si>
    <t>Glas, Metall, Kunststoff</t>
  </si>
  <si>
    <t>Metall, Kunststoff</t>
  </si>
  <si>
    <t>Edelstahl, Kunststoff</t>
  </si>
  <si>
    <t>Leinwand, Farbe, Holzrahmen</t>
  </si>
  <si>
    <t>Keramik, Plastik</t>
  </si>
  <si>
    <t>Metall und Glas</t>
  </si>
  <si>
    <t>Metall, Glas, Aluminiumfolie</t>
  </si>
  <si>
    <t>Plastiktopf, Pflanze</t>
  </si>
  <si>
    <t>synthetische Fasern</t>
  </si>
  <si>
    <t>Baumwolle/Denim</t>
  </si>
  <si>
    <t>Baumwolle, möglicherweise Elasthan</t>
  </si>
  <si>
    <t>Leder oder Kunstleder</t>
  </si>
  <si>
    <t>Stoff</t>
  </si>
  <si>
    <t>Stoff, möglicherweise Wolle oder Mischgewebe</t>
  </si>
  <si>
    <t>Denim</t>
  </si>
  <si>
    <t>Stoff (vermutlich Baumwolle oder ein synthetisches Material)</t>
  </si>
  <si>
    <t>Metall, Kunststoff, Holz</t>
  </si>
  <si>
    <t>Metall und Kunststoff</t>
  </si>
  <si>
    <t>Metall, Stoff</t>
  </si>
  <si>
    <t>Stoff, Holz, Schaumstoff</t>
  </si>
  <si>
    <t>Stoff, Metall</t>
  </si>
  <si>
    <t>Holz, Metall</t>
  </si>
  <si>
    <t>Holz/Metall/Kunststoff</t>
  </si>
  <si>
    <t>Holz oder Kunststoff mit Lack</t>
  </si>
  <si>
    <t>Holz, Kunststoff</t>
  </si>
  <si>
    <t>Holz, Stoff</t>
  </si>
  <si>
    <t>Stoff, Holz</t>
  </si>
  <si>
    <t>Stoff, Polster</t>
  </si>
  <si>
    <t>Gigaset DECT-Schnurlostelefon (2 Handteile mit Ladestationen)</t>
  </si>
  <si>
    <t>Smartphone (iPhone) mit gebrochenem Display</t>
  </si>
  <si>
    <t>Philips Haartrockner 2100W</t>
  </si>
  <si>
    <t>Apple MacBook Air (Laptop)</t>
  </si>
  <si>
    <t>Geschirrspüler (innen)</t>
  </si>
  <si>
    <t>Dyson V12 Kabelloser Staubsauger</t>
  </si>
  <si>
    <t>Samsung Waschmaschine</t>
  </si>
  <si>
    <t>Staubsauger (Bodenstaubsauger mit Staubbeutel)</t>
  </si>
  <si>
    <t>Siemens Geschirrspüler / Spülmaschine</t>
  </si>
  <si>
    <t>Samsung Flachbildfernseher mit Fernbedienung</t>
  </si>
  <si>
    <t>Geschirrspüler (Constructa, Unterbau/freistehend, schmal 45cm)</t>
  </si>
  <si>
    <t>Holzregal (5 Etagen)</t>
  </si>
  <si>
    <t>Staffelei (Künstlerstaffelei)</t>
  </si>
  <si>
    <t>Gerahmtes Gemälde / Wandbild (Nebelwald-Motiv)</t>
  </si>
  <si>
    <t>Zimmerpflanze in Keramiktopf</t>
  </si>
  <si>
    <t>Pendelleuchte mit 3 Kugelschirmen</t>
  </si>
  <si>
    <t>Antike Tischuhr / Kaminuhr (Quartz)</t>
  </si>
  <si>
    <t>Shisha (Wasserpfeife)</t>
  </si>
  <si>
    <t>Getrocknete Schleierkraut-Blumen in Keramikvase</t>
  </si>
  <si>
    <t>Hängeleuchte / Pendelleuchte (IKEA PS 2014 oder ähnlich)</t>
  </si>
  <si>
    <t>Topfpflanze (sterbend/abgestorben) in rotem Kunststofftopf</t>
  </si>
  <si>
    <t>Hybrid-Steppjacke mit Kapuze</t>
  </si>
  <si>
    <t>Moncler Baby-Set (Poloshirt + Shorts)</t>
  </si>
  <si>
    <t>Jeans/Deniмhose</t>
  </si>
  <si>
    <t>Langarmshirt / Sweatshirt mit Pailletten-Hirsch-Motiv</t>
  </si>
  <si>
    <t>Overknee-Stiefel mit Stiletto-Absatz</t>
  </si>
  <si>
    <t>Damenkleid (Midi-Kleid mit Cowlneck und Schlitz)</t>
  </si>
  <si>
    <t>Tweed-Sakko / Herrenjakke</t>
  </si>
  <si>
    <t>Jeans (Hellblau, Used-Look)</t>
  </si>
  <si>
    <t>Herrensakko / Blazer</t>
  </si>
  <si>
    <t>Kostüm-Tunika / Theaterkleidung (künstlich gealtert)</t>
  </si>
  <si>
    <t>Thermoskanne / Airpot-Pumpkanne</t>
  </si>
  <si>
    <t>Glasauflaufform / Backform</t>
  </si>
  <si>
    <t>Schneebesen (Whisk)</t>
  </si>
  <si>
    <t>Runde Metallplatte / Backblech oder Tortenplatte</t>
  </si>
  <si>
    <t>Reiskocher / Slow Cooker</t>
  </si>
  <si>
    <t>Schnellkochtopf (Druckkochtopf)</t>
  </si>
  <si>
    <t>Messbecher (Mixbehälter)</t>
  </si>
  <si>
    <t>Messbecher (Pars Khazar Stabmixer-Behälter)</t>
  </si>
  <si>
    <t>Kristallglas / Whiskeyglas</t>
  </si>
  <si>
    <t>Elektrischer Wasserkocher</t>
  </si>
  <si>
    <t>Esszimmerstuhl / Freischwinger</t>
  </si>
  <si>
    <t>Ecksofa / L-förmiges Sofa</t>
  </si>
  <si>
    <t>Sideboard / TV-Lowboard mit Lamellen-Frontdesign</t>
  </si>
  <si>
    <t>Barhocker / Küchenstuhl (2 Stück)</t>
  </si>
  <si>
    <t>Holzschrank / Sideboard mit Wabenmuster</t>
  </si>
  <si>
    <t>Zweitüriger Kleiderschrank (IKEA Brimnes oder ähnlich)</t>
  </si>
  <si>
    <t>IKEA Schuhschrank (BISSA oder ähnlich) mit Klappfächern</t>
  </si>
  <si>
    <t>Kommode / Schubladenschrank (IKEA Malm-ähnlich)</t>
  </si>
  <si>
    <t>Schreibtisch / Konsoltisch mit Glasplatte und zwei Schubladen</t>
  </si>
  <si>
    <t>Sessel / Armlehnenstuhl</t>
  </si>
  <si>
    <t>Ecksofa / Eckcouch</t>
  </si>
  <si>
    <t>Sofa / Couch (2-Sitzer)</t>
  </si>
  <si>
    <t>Kunststoff (ABS), Elektronik (Leiterplatten, Lithium-Akkus), Metall (Kontakte, Schrauben), LCD-Display</t>
  </si>
  <si>
    <t>Glas, Aluminium, Lithium-Ionen-Akku, Leiterplatten, Kupfer, seltene Erden, Kunststoff</t>
  </si>
  <si>
    <t>Kunststoff (ABS), Elektromotor, Kupferkabel, Metallteile</t>
  </si>
  <si>
    <t>Aluminium-Gehäuse, Kunststoff-Tasten, Glas-Trackpad, Lithium-Ionen-Akku, Leiterplatten, Kupfer, seltene Erden</t>
  </si>
  <si>
    <t>Edelstahl, Kunststoff (PP/ABS), verzinkter Stahl (Körbe/Roste)</t>
  </si>
  <si>
    <t>ABS-Kunststoff, Aluminium, Lithium-Ionen-Akku, Elektromotor, Gummi</t>
  </si>
  <si>
    <t>Stahl, Kunststoff, Gummi, Elektronikkomponenten, Glas</t>
  </si>
  <si>
    <t>Kunststoff (ABS), Metall (Teleskoprohr), Gummi (Schlauch), Filtermaterial (HEPA-Filter, Vlies/Staubbeutel)</t>
  </si>
  <si>
    <t>Edelstahl (Gehäuse), Kunststoff (Bedienfeld), Elektronik, Gummi, Metall</t>
  </si>
  <si>
    <t>Kunststoff, Glas, Metall, elektronische Bauteile (Platinen, Kupfer, seltene Erden)</t>
  </si>
  <si>
    <t>Edelstahl (Gehäuse), Kunststoff (Innenteile, Schläuche), Elektronik, Metall</t>
  </si>
  <si>
    <t>Massivholz (Birke/Kiefer)</t>
  </si>
  <si>
    <t>Buchenholz, Metallschrauben/-knöpfe, Textilgurt</t>
  </si>
  <si>
    <t>Holzrahmen, Leinwand oder Papier, Acryl- oder Ölfarbe, möglicherweise Glas</t>
  </si>
  <si>
    <t>Kunststoff (Polypropylen), Metall (Schreibspitze)</t>
  </si>
  <si>
    <t>Keramik (Topf), Erde, organisches Pflanzenmaterial</t>
  </si>
  <si>
    <t>Chrom/verchromtes Metall, Stahlkabel, Kunststoffkomponenten</t>
  </si>
  <si>
    <t>Metall (Messing/Bronze-Optik), Kunststoff, Glas, elektronische Bauteile (Quartz-Uhrwerk), Batterie</t>
  </si>
  <si>
    <t>Chrom/Metall, Glas</t>
  </si>
  <si>
    <t>Glas (Basis), Metall/Edelstahl (Rohr, Teller), Aluminiumfolie (Kopf), Asche und Kohlereste</t>
  </si>
  <si>
    <t>Keramik (Vase), getrocknete Pflanzen (Gypsophila)</t>
  </si>
  <si>
    <t>Kunststoff (Polypropylen), Metallkabel/Draht</t>
  </si>
  <si>
    <t>Kunststoff (Topf), organisches Material (Pflanze/Erde)</t>
  </si>
  <si>
    <t>Polyester (Steppkörper), Baumwolle/Polyester-Mischgewebe (Ärmel), Synthetikfüllung</t>
  </si>
  <si>
    <t>Baumwolle (Piqué), Elasthan (Bund)</t>
  </si>
  <si>
    <t>Baumwolle (Denim), möglicherweise mit Elasthan-Anteil</t>
  </si>
  <si>
    <t>Polyester/Viskose-Mischgewebe (Melange), Pailletten (Kunststoff)</t>
  </si>
  <si>
    <t>Kunstleder (PU/PVC), Synthetische Sohle, Metallabsatz</t>
  </si>
  <si>
    <t>Synthetikfaser, wahrscheinlich Polyester oder Viskose</t>
  </si>
  <si>
    <t>Wolle (Tweed, Fischgrätmuster), Synthetik-Innenfutter (Polyester)</t>
  </si>
  <si>
    <t>Baumwolle (ca. 98%), Elasthan (ca. 2%)</t>
  </si>
  <si>
    <t>Synthetik- oder Wollgemisch, Knöpfe aus Kunststoff oder Horn</t>
  </si>
  <si>
    <t>Kunstleder oder Wildlederimitat (Polyester/Kunstfaser), möglicherweise mit Acrylfarbe behandelt</t>
  </si>
  <si>
    <t>Edelstahl (Korpus), Kunststoff ABS (Deckel, Pumpmechanismus, Ausgussrohr)</t>
  </si>
  <si>
    <t>Aluminium (Topf und Deckel), Kunststoff (Griff/Knauf)</t>
  </si>
  <si>
    <t>Borosilikatglas</t>
  </si>
  <si>
    <t>Edelstahl (Drähte), Kunststoff/Plastik (Griff), Leder oder Kunstleder (Verbindungsstück)</t>
  </si>
  <si>
    <t>Keramik oder Melamin-Kunststoff (matt-grau)</t>
  </si>
  <si>
    <t>Metall (vermutlich Stahl oder Aluminium, matt beschichtet)</t>
  </si>
  <si>
    <t>Kunststoff (ABS), Metall (Heizelement), Keramik/Glas (Deckel), Gummi (Dichtung), Kupfer (Kabel)</t>
  </si>
  <si>
    <t>Edelstahl (Topf), Kunststoff/Plastik (Griff und Deckelaufsatz), Gummi (Dichtungsring)</t>
  </si>
  <si>
    <t>Kunststoff (transparentes Polycarbonat/PP)</t>
  </si>
  <si>
    <t>Kunststoff (Polypropylen/PP)</t>
  </si>
  <si>
    <t>Bleikristall oder Kristallglas</t>
  </si>
  <si>
    <t>Edelstahl, Kunststoff (ABS), Glas (Sichtfenster)</t>
  </si>
  <si>
    <t>Sitzfläche und Rückenlehne: Mikrofaser/Kunstleder (braun), Gestell: Chromstahl</t>
  </si>
  <si>
    <t>Polyester-Webstoff (Sitzfläche), Kunstleder/Alcantara (Rahmen), Schaumstoff (Polsterung), Holz/MDF (Rahmen innen), Kunststoff (Füße)</t>
  </si>
  <si>
    <t>Massivholz (Palisander/Sheesham)</t>
  </si>
  <si>
    <t>Holzrahmen, Schaumstoffpolsterung, Polyester/Mikrofaser-Bezug (olivgrün)</t>
  </si>
  <si>
    <t>Metallgestell (schwarz lackiert), Sitzfläche und Rückenlehne mit Polsterung (Schaumstoff) und Gewebestoff-Bezug (grau, Rautenmuster)</t>
  </si>
  <si>
    <t>Massivholz (Mahagoni/Akazie), Metallbeschläge (vergoldet/Messing), Holzbeine</t>
  </si>
  <si>
    <t>Spanplatte mit Folienoberfläche (melaminbeschichtet), Kunststoffgriffe, Metallscharniere</t>
  </si>
  <si>
    <t>Spanplatte, Melaminbeschichtung, Kunststoffscharniere, Metallbeschläge</t>
  </si>
  <si>
    <t>Spanplatte mit weißer Folienbeschichtung (Melamin), Kunststoffteile</t>
  </si>
  <si>
    <t>Holz (Massivholz/Holzfurnier), Weißer Kunststoff/Lackierung, Glas (Tischplatte)</t>
  </si>
  <si>
    <t>Holz (Armlehnen/Gestell), Polsterstoff (Baumwolle/Leinen-Mischgewebe), Schaumstoff (Füllung)</t>
  </si>
  <si>
    <t>Mikrofasergewebe (Bezug), Schaumstoff (Polsterung), Holz (Rahmen/Beine), Metall (Gestell)</t>
  </si>
  <si>
    <t>Holzrahmen, Schaumstoffpolsterung, Stoffbezug (Polyester/Baumwollmischgewebe, grau)</t>
  </si>
  <si>
    <t>Schnurlostelefone</t>
  </si>
  <si>
    <t>Easle</t>
  </si>
  <si>
    <t>Tischuhr</t>
  </si>
  <si>
    <t>Spiegel</t>
  </si>
  <si>
    <t>Blumenvase mit getrockneten Blumen</t>
  </si>
  <si>
    <t>Pflanze</t>
  </si>
  <si>
    <t>Winterjacke</t>
  </si>
  <si>
    <t>Sakko</t>
  </si>
  <si>
    <t>Anzug</t>
  </si>
  <si>
    <t>T-Shirt</t>
  </si>
  <si>
    <t>Glasbackform</t>
  </si>
  <si>
    <t>Elektrischer Reiskocher</t>
  </si>
  <si>
    <t>Drucktopf</t>
  </si>
  <si>
    <t>Wasserbehälter</t>
  </si>
  <si>
    <t>Schreibtisch</t>
  </si>
  <si>
    <t>Kunststoff, Metall, Elektronik</t>
  </si>
  <si>
    <t>Metall, Glas, Kunststoff</t>
  </si>
  <si>
    <t>Plastik, Metall</t>
  </si>
  <si>
    <t>Aluminium, Kunststoff, elektronische Komponenten</t>
  </si>
  <si>
    <t>Edelstahl, Kunststoff, Elektronik</t>
  </si>
  <si>
    <t>Kunststoff, Metall, Glas</t>
  </si>
  <si>
    <t>Metall, Kunststoff, Elektronik</t>
  </si>
  <si>
    <t>Leinwand, Farbe, Holz (Rahmen)</t>
  </si>
  <si>
    <t>Keramik, Ton, Erde, Pflanze</t>
  </si>
  <si>
    <t>Messing</t>
  </si>
  <si>
    <t>Keramik oder Porzellan, getrocknete Pflanzenteile</t>
  </si>
  <si>
    <t>Papier oder Kunststoff</t>
  </si>
  <si>
    <t>Pflanzliche Substanz, Kunststoff (Topf)</t>
  </si>
  <si>
    <t>Polyester, Polyester (gefüllt), Baumwolle</t>
  </si>
  <si>
    <t>Baumwolle, Polyester</t>
  </si>
  <si>
    <t>Leder</t>
  </si>
  <si>
    <t>Baumwolle oder ähnliches Gewebe</t>
  </si>
  <si>
    <t>Baumwolle, Polyester, Elasthan</t>
  </si>
  <si>
    <t>Wolle oder ein anderes Material für Anzüge</t>
  </si>
  <si>
    <t>Stahl, Kunststoff</t>
  </si>
  <si>
    <t>Keramik oder Porzellan</t>
  </si>
  <si>
    <t>Metall (Stahl), Kunststoff</t>
  </si>
  <si>
    <t>Plastik</t>
  </si>
  <si>
    <t>Metall (Edelstahl), Kunststoff</t>
  </si>
  <si>
    <t>Stoff, Schaumstoff, Holz/Metall (Untergestell)</t>
  </si>
  <si>
    <t>Bettwäsche (Baumwolle/Polyester), Polsterung (Schaumstoff), Bezug (Stoff)</t>
  </si>
  <si>
    <t>Textil, Metall</t>
  </si>
  <si>
    <t>MDF oder Spanplatte, Kunststoff</t>
  </si>
  <si>
    <t>Kunststoff, MDF oder Spanplatten</t>
  </si>
  <si>
    <t>MDF oder Spanplatte mit Kunststoff- oder Lackbeschichtung</t>
  </si>
  <si>
    <t>Stoff/Textil</t>
  </si>
  <si>
    <t>Recycling</t>
  </si>
  <si>
    <t>Elektronik-Recycling</t>
  </si>
  <si>
    <t>Spende oder fachgerechte Entsorgung bei einem Elektroschrott-Recyclinghof</t>
  </si>
  <si>
    <t>Zur ordnungsgemäßen Entsorgung und zum Recycling an einen geeigneten Elektroschrott- oder Recyclinghof übergeben</t>
  </si>
  <si>
    <t>Der Geschirrspüler sollte bei einem Fachmann oder einem Recyclinghof für Elektroschrott abgegeben werden, um eine ordnungsgemäße Entsorgung und Wiederverwertung der enthaltenen Materialien sicherzustellen.</t>
  </si>
  <si>
    <t>Wiederverwendung oder fachgerechte Entsorgung bei einem Elektroschrott-Recyclinghof</t>
  </si>
  <si>
    <t>Bei einem Fachmann oder einem kommunalen Recyclinghof für Elektroschrott abgeben</t>
  </si>
  <si>
    <t>Spende oder Weiterverkauf</t>
  </si>
  <si>
    <t>Reinigung oder fachgerechte Entsorgung</t>
  </si>
  <si>
    <t>Weiterverwendung oder Recycling</t>
  </si>
  <si>
    <t>Recycling oder fachgerechte Entsorgung</t>
  </si>
  <si>
    <t>Recyclinghof oder Metallabfall</t>
  </si>
  <si>
    <t>Spende oder fachgerechte Entsorgung über einen Möbel-Recycling-Service</t>
  </si>
  <si>
    <t>Weiterverkauf oder Spende</t>
  </si>
  <si>
    <t>Reparatur oder Weiterverwendung, ansonsten Teile recyceln</t>
  </si>
  <si>
    <t>cordless phone (90.5% / 90.5%)</t>
  </si>
  <si>
    <t>mobile phone or smartphone (89.7% / 89.7%)</t>
  </si>
  <si>
    <t>hand mixer (44.0% / 44.0%)</t>
  </si>
  <si>
    <t>laptop computer (97.8% / 97.8%)</t>
  </si>
  <si>
    <t>dishwasher (99.9% / 99.9%)</t>
  </si>
  <si>
    <t>vacuum or vacuum cleaner (82.4% / 82.4%)</t>
  </si>
  <si>
    <t>washing machine (98.7% / 98.7%)</t>
  </si>
  <si>
    <t>vacuum or vacuum cleaner (54.7% / 54.7%)</t>
  </si>
  <si>
    <t>dishwasher (90.1% / 90.1%)</t>
  </si>
  <si>
    <t>TV or television screen (99.3% / 99.3%)</t>
  </si>
  <si>
    <t>dishwasher (95.8% / 95.8%)</t>
  </si>
  <si>
    <t>chair (75.9% / 75.9%)</t>
  </si>
  <si>
    <t>painting easel (99.8% / 99.8%)</t>
  </si>
  <si>
    <t>painting or artwork on a canvas (92.7% / 92.7%)</t>
  </si>
  <si>
    <t>pen or ballpoint pen (97.5% / 97.5%)</t>
  </si>
  <si>
    <t>plant pot or flower pot (60.7% / 60.7%)</t>
  </si>
  <si>
    <t>lamp or hanging lamp or pendant light (83.4% / 83.4%)</t>
  </si>
  <si>
    <t>table clock (99.9% / 99.9%)</t>
  </si>
  <si>
    <t>mirror (46.9% / 46.9%)</t>
  </si>
  <si>
    <t>hookah or shisha pipe or water pipe (73.5% / 73.5%)</t>
  </si>
  <si>
    <t>plant pot or flower pot (53.7% / 53.7%)</t>
  </si>
  <si>
    <t>table lamp or lampshade (49.9% / 49.9%)</t>
  </si>
  <si>
    <t>plant pot or flower pot (90.6% / 90.6%)</t>
  </si>
  <si>
    <t>jacket or blazer (45.9% / 45.9%)</t>
  </si>
  <si>
    <t>childrens clothing (96.0% / 96.0%)</t>
  </si>
  <si>
    <t>pants or trousers (59.0% / 59.0%)</t>
  </si>
  <si>
    <t>blouse or womens shirt (48.9% / 48.9%)</t>
  </si>
  <si>
    <t>boots or ankle boots (98.7% / 98.7%)</t>
  </si>
  <si>
    <t>cocktail dress (89.2% / 89.2%)</t>
  </si>
  <si>
    <t>suit jacket (51.1% / 51.1%)</t>
  </si>
  <si>
    <t>jeans (87.1% / 87.1%)</t>
  </si>
  <si>
    <t>suit jacket (52.7% / 52.7%)</t>
  </si>
  <si>
    <t>tunic (67.3% / 67.3%)</t>
  </si>
  <si>
    <t>electric kettle (70.3% / 70.3%)</t>
  </si>
  <si>
    <t>pot for cooking (54.8% / 54.8%)</t>
  </si>
  <si>
    <t>glas baking dish or glas dish (91.9% / 91.9%)</t>
  </si>
  <si>
    <t>whisk (97.4% / 97.4%)</t>
  </si>
  <si>
    <t>plate for eating or plate (95.6% / 95.6%)</t>
  </si>
  <si>
    <t>glas baking dish or glas dish (49.2% / 49.2%)</t>
  </si>
  <si>
    <t>rice cooker (67.0% / 67.0%)</t>
  </si>
  <si>
    <t>hand mixer (68.4% / 68.4%)</t>
  </si>
  <si>
    <t>measuring cup (60.9% / 60.9%)</t>
  </si>
  <si>
    <t>measuring cup (68.9% / 68.9%)</t>
  </si>
  <si>
    <t>glass for drinking (83.8% / 83.8%)</t>
  </si>
  <si>
    <t>electric kettle (95.6% / 95.6%)</t>
  </si>
  <si>
    <t>chair (56.7% / 56.7%)</t>
  </si>
  <si>
    <t>sofa (99.8% / 99.8%)</t>
  </si>
  <si>
    <t>sideboard or buffet (61.5% / 61.5%)</t>
  </si>
  <si>
    <t>sofa (97.0% / 97.0%)</t>
  </si>
  <si>
    <t>chair (77.2% / 77.2%)</t>
  </si>
  <si>
    <t>cabinet (38.1% / 38.1%)</t>
  </si>
  <si>
    <t>wardrobe (58.5% / 58.5%)</t>
  </si>
  <si>
    <t>cabinet (34.4% / 34.4%)</t>
  </si>
  <si>
    <t>drawers (30.6% / 30.6%)</t>
  </si>
  <si>
    <t>console table (26.9% / 26.9%)</t>
  </si>
  <si>
    <t>chair (50.7% / 50.7%)</t>
  </si>
  <si>
    <t>sofa (97.2% / 97.2%)</t>
  </si>
  <si>
    <t>sofa (95.6% / 95.6%)</t>
  </si>
  <si>
    <t>plastic (29.0%)</t>
  </si>
  <si>
    <t>plastic (41.1%)</t>
  </si>
  <si>
    <t>metal (17.6%)</t>
  </si>
  <si>
    <t>metal (23.4%)</t>
  </si>
  <si>
    <t>plastic (41.6%)</t>
  </si>
  <si>
    <t>textile or fabric (32.4%)</t>
  </si>
  <si>
    <t>plastic (28.6%)</t>
  </si>
  <si>
    <t>wood (57.9%)</t>
  </si>
  <si>
    <t>leather (26.3%)</t>
  </si>
  <si>
    <t>wood (17.9%)</t>
  </si>
  <si>
    <t>plastic (38.7%)</t>
  </si>
  <si>
    <t>metal (60.1%)</t>
  </si>
  <si>
    <t>metal (26.5%)</t>
  </si>
  <si>
    <t>metal (50.0%)</t>
  </si>
  <si>
    <t>metal (23.2%)</t>
  </si>
  <si>
    <t>ceramic (23.3%)</t>
  </si>
  <si>
    <t>textile or fabric (20.4%)</t>
  </si>
  <si>
    <t>plastic (35.5%)</t>
  </si>
  <si>
    <t>wood (22.1%)</t>
  </si>
  <si>
    <t>metal (71.6%)</t>
  </si>
  <si>
    <t>metal (45.2%)</t>
  </si>
  <si>
    <t>leather (48.1%)</t>
  </si>
  <si>
    <t>plastic (34.5%)</t>
  </si>
  <si>
    <t>metal (28.0%)</t>
  </si>
  <si>
    <t>plastic (44.8%)</t>
  </si>
  <si>
    <t>plastic (35.6%)</t>
  </si>
  <si>
    <t>metal (43.9%)</t>
  </si>
  <si>
    <t>ceramic (32.6%)</t>
  </si>
  <si>
    <t>plastic (31.8%)</t>
  </si>
  <si>
    <t>plastic (21.6%)</t>
  </si>
  <si>
    <t>wood (19.7%)</t>
  </si>
  <si>
    <t>metal (22.9%)</t>
  </si>
  <si>
    <t>metal (37.8%)</t>
  </si>
  <si>
    <t>leather (49.4%)</t>
  </si>
  <si>
    <t>metal (34.0%)</t>
  </si>
  <si>
    <t>plastic (49.5%)</t>
  </si>
  <si>
    <t>textile or fabric (28.1%)</t>
  </si>
  <si>
    <t>leather (24.3%)</t>
  </si>
  <si>
    <t>Weiterverkaufen oder Spenden</t>
  </si>
  <si>
    <t>Empfehlung: Reparieren oder Recyceln</t>
  </si>
  <si>
    <t>Empfehlung: Weiterverkaufen oder Spenden</t>
  </si>
  <si>
    <t>Empfehlung: Weiterverwenden oder Spenden</t>
  </si>
  <si>
    <t>Reparieren</t>
  </si>
  <si>
    <t>Empfehlung: Weiterverwenden</t>
  </si>
  <si>
    <t>Empfehlung: Weiterverkaufen oder Behalten</t>
  </si>
  <si>
    <t>Empfehlung: Weiterbenutzen oder Entsorgen</t>
  </si>
  <si>
    <t>Weiterverwenden als Dekoration</t>
  </si>
  <si>
    <t>Weiterverkaufen oder Behalten</t>
  </si>
  <si>
    <t>Empfehlung: Reinigen und weiterverwenden oder fachgerecht entsorgen</t>
  </si>
  <si>
    <t>Empfehlung: Reinigen und weiterverwenden</t>
  </si>
  <si>
    <t>Empfehlung: Pflege verbessern oder Pflanze ersetzen</t>
  </si>
  <si>
    <t>Empfehlung: Entsorgen</t>
  </si>
  <si>
    <t>Empfehlung: Entsorgen oder kreative Wiederverwendung für Bastelprojekte</t>
  </si>
  <si>
    <t>Reinigen und weiterverwenden oder recyceln</t>
  </si>
  <si>
    <t>Reinigen und weiterverwenden</t>
  </si>
  <si>
    <t>Recyceln</t>
  </si>
  <si>
    <t>Weiterverwenden</t>
  </si>
  <si>
    <t>Empfehlung: Bei Bedarf reparieren oder recyceln</t>
  </si>
  <si>
    <t>Weiterverkaufen</t>
  </si>
  <si>
    <t>Empfehlung: Reparieren</t>
  </si>
  <si>
    <t>Empfehlung: Spenden oder Weiterverkaufen</t>
  </si>
  <si>
    <t>Reinigen oder Reparieren</t>
  </si>
  <si>
    <t>Weiterverkaufen: Das Set ist in gutem Zustand und funktionsfähig – Verkauf über Kleinanzeigen empfohlen. Alternativ Spenden an Sozialkaufhäuser. Falls defekt: Entsorgung über Elektroaltgeräte-Sammelstellen (kein Hausmüll wegen Akku und Elektronik).</t>
  </si>
  <si>
    <t>Reparieren: Displaytausch bei einem autorisierten Reparaturservice, danach Weiterverkaufen oder Weiterverwenden. Falls Reparatur unwirtschaftlich: Zu einem zertifizierten Elektroschrott-Recyclinghof (z.B. Rücknahmesystem des Herstellers oder kommunale Sammelstelle) bringen – niemals in den Hausmüll.</t>
  </si>
  <si>
    <t>Weiterverkaufen oder Spenden – Gerät wirkt neuwertig und funktionsfähig. Falls defekt: Elektroschrott-Recycling bei einer Sammelstelle (z.B. Wertstoffhof oder Elektrohandel)</t>
  </si>
  <si>
    <t>Weiterverkaufen – das Gerät befindet sich in einem guten Zustand und hat noch einen hohen Wiederverkaufswert. Alternativ bei Defekten zu einem autorisierten Apple-Händler oder einer Elektronik-Recyclingsstelle (z.B. Apple Trade In) bringen, da das Gerät Sondermüll-Komponenten enthält und nicht in den Hausmüll darf.</t>
  </si>
  <si>
    <t>Weiterverkaufen oder Spenden, falls funktionsfähig; bei Defekt zur Elektroschrottentsorgung (Wertstoffhof) bringen, da Elektrogeräte gesondert recycelt werden müssen</t>
  </si>
  <si>
    <t>Weiterverkaufen – das Gerät befindet sich in einem sehr guten Zustand und ist auf Plattformen wie eBay Kleinanzeigen oder Vinted gut zu verkaufen. Falls defekt: Reparieren über Dyson-Service oder Recyceln über Elektroschrott-Sammelstelle (kein Hausmüll wegen Lithium-Akku).</t>
  </si>
  <si>
    <t>Weiterverkaufen oder bei einem Elektrogerät-Recyclinghof abgeben – Flecken auf dem Gehäuse sichtbar, aber Gerät scheint funktionsfähig. Bei Defekten zuerst Reparatur prüfen (z.B. Kundendienst oder Reparaturcafé), da Elektroschrott umweltbelastend ist.</t>
  </si>
  <si>
    <t>Weiterverkaufen oder Spenden – Gerät erscheint funktionsfähig mit neuem Staubbeutel und sauberem HEPA-Filter; alternativ bei Defekt Elektroschrott-Recyclinghof (WEEE) abgeben</t>
  </si>
  <si>
    <t>Weiterverkaufen oder Spenden – das Gerät erscheint funktionsfähig und ist eine bekannte Marke. Falls defekt: Elektrogeräte-Recycling über kommunalen Wertstoffhof oder Hersteller-Rücknahmeprogramm.</t>
  </si>
  <si>
    <t>Weiterverkaufen – das Gerät befindet sich in einem optisch guten Zustand und ist funktionsfähig (Fernbedienung vorhanden). Verkauf über Kleinanzeigen empfohlen. Falls defekt: Abgabe an Elektroaltgeräte-Sammelstelle (WEEE-Richtlinie).</t>
  </si>
  <si>
    <t>Weiterverkaufen (z.B. eBay Kleinanzeigen), da das Gerät optisch in gutem Zustand ist und die Marke Constructa (Bosch-Gruppe) bekannt und wertig ist</t>
  </si>
  <si>
    <t>Weiterverkaufen oder Spenden – die Staffelei befindet sich in gutem Zustand und ist für Künstler, Schulen oder Hobbymalergruppen noch sehr gut nutzbar</t>
  </si>
  <si>
    <t>Weiterverkaufen oder Spenden – das Gemälde ist in sehr gutem Zustand und dekorativ wertvoll; geeignet für Flohmärkte, Online-Plattformen (z.B. eBay Kleinanzeigen) oder Secondhand-Läden</t>
  </si>
  <si>
    <t>Weiterbenutzen bis zur Entleerung, danach im Restmüll entsorgen, da Kugelschreiber aus gemischten Kunststoffen schwer recycelbar sind</t>
  </si>
  <si>
    <t>Weiterverkaufen oder Verschenken – die Pflanze ist gesund und der Topf in einwandfreiem Zustand; bei Nichtbedarf kann der Keramiktopf im Keramikmüll recycelt werden</t>
  </si>
  <si>
    <t>Weiterverkaufen – die Leuchte ist in gutem Zustand und ein zeitloser Designklassiker, ideal für Kleinanzeigen oder Second-Hand-Plattformen. Alternativ Spenden an Sozialkaufhäuser.</t>
  </si>
  <si>
    <t>Weiterverkaufen – die aufwendig verzierte Uhr im Barockstil hat einen dekorativen und potenziell sammlerischen Wert. Empfehlenswert für Antiquitätenmärkte, eBay Kleinanzeigen oder Flohmärkte.</t>
  </si>
  <si>
    <t>Weiterverkaufen oder Spenden – der Spiegel befindet sich in gutem Zustand und kann problemlos wiederverwendet werden</t>
  </si>
  <si>
    <t>Entsorgen oder Teile trennen und recyceln: Glas in Glascontainer, Metall in Metallschrott. Aluminiumfolie und Asche in Restmüll.</t>
  </si>
  <si>
    <t>Getrocknete Blumen können kompostiert oder als Dekoration weiterverwendet werden. Die Keramikvase ist in gutem Zustand und kann weiterverkauft oder gespendet werden. Falls beschädigt, Keramik über den Restmüll entsorgen.</t>
  </si>
  <si>
    <t>Weiterverkaufen oder Spenden – die Lampe befindet sich in gutem Zustand und kann auf Plattformen wie eBay Kleinanzeigen oder in Sozialkaufhäusern abgegeben werden</t>
  </si>
  <si>
    <t>Pflanze: Abgestorbene Blätter entfernen, bei noch lebenden Trieben Notfallpflege versuchen (Wasser, Licht, Dünger). Falls nicht zu retten, Pflanzenmaterial im Biomüll entsorgen. Den roten Topf reinigen und wiederverwenden oder weitergeben.</t>
  </si>
  <si>
    <t>Weiterverkaufen oder Spenden – die Jacke befindet sich in einem sehr guten Zustand und kann problemlos weitergetragen werden</t>
  </si>
  <si>
    <t>Weiterverkaufen – da es sich um ein hochwertiges Markenprodukt (Moncler) in gutem Zustand handelt, eignet es sich sehr gut für den Weiterverkauf auf Plattformen wie Vinted, eBay oder in Kinderboutiquen für Second-Hand-Designermode.</t>
  </si>
  <si>
    <t>Reparieren: Der ausgedünnte/verschlissene Bereich im Schritt kann geflickt werden. Falls nicht reparierbar, bei Textilsammelstellen (z.B. H&amp;M Recycling) abgeben.</t>
  </si>
  <si>
    <t>Weiterverkaufen oder Spenden, da das Shirt in gutem Zustand ist. Aufgrund der Pailletten-Verzierung ist ein Recycling schwierig, da Mischwaterialien schwer zu trennen sind.</t>
  </si>
  <si>
    <t>Weiterverkaufen auf Plattformen wie Vinted, eBay Kleinanzeigen oder Depop, da die Stiefel neuwertig wirken und noch einen guten Marktwert haben</t>
  </si>
  <si>
    <t>Weiterverkaufen auf Plattformen wie Vinted oder Kleiderkreisel, da das Kleid in gutem Zustand und zeitlos elegant ist</t>
  </si>
  <si>
    <t>Weiterverkaufen oder Spenden – das Stück ist ein klassischer Vintage-Tweed-Blazer mit erkennbaren Gebrauchsspuren, aber noch funktionsfähig. Ideal für Secondhand-Läden, Vintage-Märkte oder Kleiderspenden. Falls beschädigt: Textilupcycling oder Wollrecycling in Betracht ziehen.</t>
  </si>
  <si>
    <t>Weiterverkaufen auf Plattformen wie Vinted oder eBay Kleinanzeigen, da die Jeans in gutem Zustand ist und noch einen guten Wiederverkaufswert hat</t>
  </si>
  <si>
    <t>Recyceln oder Entsorgen – das Sakko weist starke Verschmutzungen, Verfärbungen und Beschädigungen auf. Eine Weitergabe oder ein Verkauf ist nicht empfehlenswert. Textilrecycling über entsprechende Sammelstellen ist die beste Option.</t>
  </si>
  <si>
    <t>Entsorgen oder als Requisite/Kostüm weiterverwenden, da das Stück absichtlich beschädigt und verschmutzt wirkt und keinen praktischen Alltagswert mehr hat</t>
  </si>
  <si>
    <t>Weiterverkaufen oder Spenden, da das Gerät noch funktionsfähig erscheint; bei Defekt Edelstahl-Teil beim Metallrecycling abgeben, Kunststoffteile im Kunststoffrecycling entsorgen</t>
  </si>
  <si>
    <t>Recyceln – der Topf weist starke Verschmutzungen, Ablagerungen und Beschädigungen der Außenwand auf. Eine weitere Nutzung zum Kochen ist aus hygienischen und gesundheitlichen Gründen (Aluminiumkorrosion) nicht empfehlenswert. Zum Metallrecycling geben.</t>
  </si>
  <si>
    <t>Weiterverkaufen oder Spenden – die Form ist in einwandfreiem Zustand und kann problemlos weiterverwendet werden. Hinweis: Borosilikatglas gehört nicht ins Altglas-Recycling, da es einen anderen Schmelzpunkt hat.</t>
  </si>
  <si>
    <t>Reparieren: Der Verbindungsbereich zwischen Griff und Drähten zeigt Verschleiß und ein loser Draht ist sichtbar. Falls nicht reparierbar, Metall- und Plastikteile getrennt recyceln.</t>
  </si>
  <si>
    <t>Weiterverkaufen oder Spenden – der Gegenstand ist in gutem Zustand und kann weiterverwendet werden. Falls nicht mehr benötigt, als Metallschrott recyceln.</t>
  </si>
  <si>
    <t>Entsorgen: Das Gerät weist starke Gebrauchsspuren, Verschmutzungen und Beschädigungen am Stecker auf. Als Elektrogerät bei einer Elektroschrott-Sammelstelle (z.B. Wertstoffhof) abgeben.</t>
  </si>
  <si>
    <t>Weiterverkaufen oder Spenden – der Topf befindet sich in gutem Zustand und ist voll funktionstüchtig. Falls defekt: Edelstahl beim Metallrecycling abgeben, Kunststoffteile separat entsorgen.</t>
  </si>
  <si>
    <t>Recyceln – der Messbecher zeigt leichte Gebrauchsspuren und Kratzer, ist jedoch noch funktionsfähig. Falls keine Risse vorhanden sind, kann er weiterverwendet oder gespendet werden. Andernfalls im Kunststoffrecycling (Gelbe Tonne) entsorgen.</t>
  </si>
  <si>
    <t>Weiterverkaufen oder Spenden, falls der zugehörige Stabmixer noch vorhanden ist. Andernfalls Recyceln über den Kunststoffmüll (Gelbe Tonne).</t>
  </si>
  <si>
    <t>Weiterverkaufen oder Spenden – Kristallgläser sind im Glasrecycling nicht erwünscht, da sie einen anderen Schmelzpunkt als Normalglas haben. Bei gutem Zustand lieber auf Flohmärkten oder Online-Plattformen verkaufen oder an Sozialkaufhäuser spenden.</t>
  </si>
  <si>
    <t>Reparieren oder Weiterverkaufen: Der Kocher zeigt Gebrauchsspuren und leichte Verfärbungen, ist aber grundsätzlich noch funktionsfähig. Falls defekt, bei einem Elektrogeräte-Recyclinghof (WEEE) abgeben.</t>
  </si>
  <si>
    <t>Weiterverkaufen – der Stuhl befindet sich in sehr gutem Zustand und lässt sich gut auf Plattformen wie eBay Kleinanzeigen oder Facebook Marketplace verkaufen</t>
  </si>
  <si>
    <t>Weiterverkaufen oder Spenden – das Sofa zeigt sichtbare Gebrauchsspuren und Flecken, ist aber noch funktionsfähig. Eine professionelle Polsterreinigung könnte den Wert steigern. Alternativ bei Sperrmüll oder speziellen Möbelrecyclinghöfen entsorgen.</t>
  </si>
  <si>
    <t>Weiterverkaufen – das Möbelstück ist in gutem Zustand und besteht aus hochwertigem Massivholz, daher auf Plattformen wie eBay Kleinanzeigen oder Facebook Marketplace zum Verkauf anbieten</t>
  </si>
  <si>
    <t>Weiterverkaufen oder Spenden – das Sofa befindet sich in einem guten Zustand und kann über Plattformen wie eBay Kleinanzeigen, Facebook Marketplace oder an Sozialkaufhäuser weitergegeben werden</t>
  </si>
  <si>
    <t>Reparieren: Der rechte Hocker weist einen deutlichen Riss/Schaden an der Seitennaht auf. Eine Polsterei kann den Stoff günstig reparieren oder neu beziehen. Alternativ Weiterverkaufen als Reparaturprojekt oder Spenden an eine Upcycling-Werkstatt. Das Metallgestell ist vollständig recycelbar.</t>
  </si>
  <si>
    <t>Weiterverkaufen – der Schrank ist in gutem Zustand und hat ein dekoratives, hochwertiges Design, das auf Plattformen wie eBay Kleinanzeigen, Vinted oder Facebook Marketplace einen guten Wiederverkaufswert erzielen kann</t>
  </si>
  <si>
    <t>Weiterverkaufen oder Spenden – der Schrank befindet sich in sehr gutem Zustand und kann problemlos weitergenutzt werden (z.B. eBay Kleinanzeigen, Facebook Marketplace oder lokale Sozialkaufhäuser)</t>
  </si>
  <si>
    <t>Weiterverkaufen oder Spenden, da der Schrank in gutem Zustand ist – z.B. über eBay Kleinanzeigen, Vinted oder lokale Sozialkaufhäuser</t>
  </si>
  <si>
    <t>Weiterverkaufen oder Spenden – die Kommode befindet sich in gutem Zustand und kann problemlos über Plattformen wie eBay Kleinanzeigen verkauft oder an Sozialkaufhäuser gespendet werden</t>
  </si>
  <si>
    <t>Weiterverkaufen – der Tisch ist in gutem Zustand und im Mid-Century Modern Stil, gut verkäuflich auf Plattformen wie eBay Kleinanzeigen oder Facebook Marketplace</t>
  </si>
  <si>
    <t>Reparieren oder Aufpolstern: Der Holzrahmen ist solide, die Polster sind verschmutzt und abgenutzt. Neubezug der Kissen würde den Wert erheblich steigern. Alternativ günstig auf Kleinanzeigen verkaufen oder an Sozialkaufhaus spenden.</t>
  </si>
  <si>
    <t>Entsorgen – das Sofa weist starke Verschmutzungen, Verfärbungen und sichtbare Abnutzungserscheinungen auf. Eine professionelle Reinigung könnte versucht werden, ist jedoch aufgrund des Ausmaßes der Flecken wenig erfolgversprechend. Falls kein Sondermüll, über den städtischen Sperrmüll entsorgen.</t>
  </si>
  <si>
    <t>Spenden oder Weiterverkaufen (z.B. auf eBay Kleinanzeigen), da das Sofa noch nutzbar ist, jedoch sichtbare Gebrauchsspuren und leichte Verschmutzungen auf dem Sitzkissen aufweist. Alternativ professionelle Polsterreinigung in Betracht ziehen, um den Wert zu steigern.</t>
  </si>
  <si>
    <t>Verschenken entsorgen</t>
  </si>
  <si>
    <t xml:space="preserve">Reparieren </t>
  </si>
  <si>
    <t>Reparieren (aks with background)</t>
  </si>
  <si>
    <t>spenden</t>
  </si>
  <si>
    <t>Reparatur oder  recyceln</t>
  </si>
  <si>
    <t>Weiterverwendung oder Reparieren</t>
  </si>
  <si>
    <t xml:space="preserve">Weiterverkauf </t>
  </si>
  <si>
    <t xml:space="preserve"> Weitergeben oder Pflege erhalten</t>
  </si>
  <si>
    <t xml:space="preserve"> Pflanze mit topf</t>
  </si>
  <si>
    <t>Weiterverwendung</t>
  </si>
  <si>
    <t>Pflege und Erhaltung der Pflanze, ggf. Umtopfen oder Düngen</t>
  </si>
  <si>
    <t>Kindeerkleidung</t>
  </si>
  <si>
    <t>Reparieren oder Weiterverkaufen</t>
  </si>
  <si>
    <t>Weiterverwenden oder bei nicht mehr gebrauchsfähig, Recyceln</t>
  </si>
  <si>
    <t xml:space="preserve"> Reinigen und Weiterverkaufen oder Spenden</t>
  </si>
  <si>
    <t>Reparatur oder Weiterverkaufen</t>
  </si>
  <si>
    <t>Reparieren oder Recyceln</t>
  </si>
  <si>
    <t xml:space="preserve"> Reparieren oder Weiterverkaufen</t>
  </si>
  <si>
    <t>reparieren</t>
  </si>
  <si>
    <t>weiterverkauf</t>
  </si>
  <si>
    <t xml:space="preserve"> weiterverkauf oder spenden</t>
  </si>
  <si>
    <t>recycle</t>
  </si>
  <si>
    <t>weietrverkauf oder spenden</t>
  </si>
  <si>
    <t xml:space="preserve"> Accuracy (automatisch)</t>
  </si>
  <si>
    <t>Accuracy (manuell bewertet)</t>
  </si>
  <si>
    <t>MAE — Zustand (↓ besser)</t>
  </si>
  <si>
    <t>Ja</t>
  </si>
  <si>
    <t>Nein</t>
  </si>
  <si>
    <t>Plastic</t>
  </si>
  <si>
    <t>metal</t>
  </si>
  <si>
    <t>plastic</t>
  </si>
  <si>
    <t>spende</t>
  </si>
  <si>
    <t>plastik</t>
  </si>
  <si>
    <t>ceramic</t>
  </si>
  <si>
    <t>ceeramic</t>
  </si>
  <si>
    <t>fabric</t>
  </si>
  <si>
    <t xml:space="preserve"> F1-Score — Recycelbar</t>
  </si>
  <si>
    <t>Empfehlung — Relevanz (1–3)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</si>
</sst>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1"/>
      <color theme="1"/>
      <name val="Calibri"/>
      <family val="2"/>
      <charset val="1"/>
    </font>
    <font>
      <b/>
      <sz val="11"/>
      <color rgb="FFFFFFFF"/>
      <name val="Arial"/>
      <family val="2"/>
    </font>
    <font>
      <b/>
      <sz val="8"/>
      <color rgb="FFFFFFFF"/>
      <name val="Arial"/>
      <family val="2"/>
    </font>
    <font>
      <sz val="9"/>
      <name val="Arial"/>
      <family val="2"/>
    </font>
    <font>
      <b/>
      <sz val="9"/>
      <name val="Arial"/>
      <family val="2"/>
    </font>
    <font>
      <b/>
      <sz val="13"/>
      <color rgb="FFFFFFFF"/>
      <name val="Arial"/>
      <family val="2"/>
    </font>
    <font>
      <b/>
      <sz val="10"/>
      <color rgb="FFFFFFFF"/>
      <name val="Arial"/>
      <family val="2"/>
    </font>
    <font>
      <b/>
      <sz val="10"/>
      <color rgb="FF1F3864"/>
      <name val="Arial"/>
      <family val="2"/>
    </font>
    <font>
      <sz val="10"/>
      <color rgb="FF000000"/>
      <name val="Helvetica Neue"/>
      <family val="2"/>
    </font>
    <font>
      <sz val="8"/>
      <name val="Calibri"/>
      <family val="2"/>
      <charset val="1"/>
    </font>
    <font>
      <sz val="10"/>
      <color rgb="FF000000"/>
      <name val="Arial"/>
      <family val="2"/>
    </font>
    <font>
      <sz val="10"/>
      <color theme="1"/>
      <name val="Helvetica Neue"/>
      <family val="2"/>
    </font>
  </fonts>
  <fills count="26">
    <fill>
      <patternFill patternType="none"/>
    </fill>
    <fill>
      <patternFill patternType="gray125"/>
    </fill>
    <fill>
      <patternFill patternType="solid">
        <fgColor rgb="FF1F3864"/>
        <bgColor rgb="FF333333"/>
      </patternFill>
    </fill>
    <fill>
      <patternFill patternType="solid">
        <fgColor rgb="FF2E75B6"/>
        <bgColor rgb="FF0066CC"/>
      </patternFill>
    </fill>
    <fill>
      <patternFill patternType="solid">
        <fgColor rgb="FF1D6B45"/>
        <bgColor rgb="FF2D6A3F"/>
      </patternFill>
    </fill>
    <fill>
      <patternFill patternType="solid">
        <fgColor rgb="FF5B2A8C"/>
        <bgColor rgb="FF4A1A7A"/>
      </patternFill>
    </fill>
    <fill>
      <patternFill patternType="solid">
        <fgColor rgb="FFB45309"/>
        <bgColor rgb="FF8B3A00"/>
      </patternFill>
    </fill>
    <fill>
      <patternFill patternType="solid">
        <fgColor rgb="FF991B1B"/>
        <bgColor rgb="FF8B3A00"/>
      </patternFill>
    </fill>
    <fill>
      <patternFill patternType="solid">
        <fgColor rgb="FF2D6A3F"/>
        <bgColor rgb="FF1D6B45"/>
      </patternFill>
    </fill>
    <fill>
      <patternFill patternType="solid">
        <fgColor rgb="FF4A1A7A"/>
        <bgColor rgb="FF5B2A8C"/>
      </patternFill>
    </fill>
    <fill>
      <patternFill patternType="solid">
        <fgColor rgb="FF8B3A00"/>
        <bgColor rgb="FF991B1B"/>
      </patternFill>
    </fill>
    <fill>
      <patternFill patternType="solid">
        <fgColor rgb="FF7B0000"/>
        <bgColor rgb="FF991B1B"/>
      </patternFill>
    </fill>
    <fill>
      <patternFill patternType="solid">
        <fgColor rgb="FFF8F9FA"/>
        <bgColor rgb="FFFFFFFF"/>
      </patternFill>
    </fill>
    <fill>
      <patternFill patternType="solid">
        <fgColor rgb="FFFFF9C4"/>
        <bgColor rgb="FFFFFF99"/>
      </patternFill>
    </fill>
    <fill>
      <patternFill patternType="solid">
        <fgColor rgb="FFFFE4E1"/>
        <bgColor rgb="FFF8F9FA"/>
      </patternFill>
    </fill>
    <fill>
      <patternFill patternType="solid">
        <fgColor rgb="FFD6E4F7"/>
        <bgColor rgb="FFCCFFFF"/>
      </patternFill>
    </fill>
    <fill>
      <patternFill patternType="solid">
        <fgColor rgb="FFFFFF00"/>
        <bgColor indexed="64"/>
      </patternFill>
    </fill>
    <fill>
      <patternFill patternType="solid">
        <fgColor theme="0"/>
        <bgColor indexed="64"/>
      </patternFill>
    </fill>
    <fill>
      <patternFill patternType="solid">
        <fgColor rgb="FFFF0000"/>
        <bgColor indexed="64"/>
      </patternFill>
    </fill>
    <fill>
      <patternFill patternType="solid">
        <fgColor rgb="FF92D050"/>
        <bgColor indexed="64"/>
      </patternFill>
    </fill>
    <fill>
      <patternFill patternType="solid">
        <fgColor theme="0"/>
        <bgColor rgb="FFFFFFFF"/>
      </patternFill>
    </fill>
    <fill>
      <patternFill patternType="solid">
        <fgColor theme="6"/>
        <bgColor indexed="64"/>
      </patternFill>
    </fill>
    <fill>
      <patternFill patternType="solid">
        <fgColor rgb="FFFFC000"/>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theme="2"/>
        <bgColor indexed="64"/>
      </patternFill>
    </fill>
  </fills>
  <borders count="3">
    <border>
      <left/>
      <right/>
      <top/>
      <bottom/>
      <diagonal/>
    </border>
    <border>
      <left style="thin">
        <color rgb="FFCCCCCC"/>
      </left>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45">
    <xf numFmtId="0" fontId="0" fillId="0" borderId="0" xfId="0"/>
    <xf numFmtId="0" fontId="2" fillId="2" borderId="2"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8" borderId="2"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2" fillId="9" borderId="2" xfId="0" applyFont="1" applyFill="1" applyBorder="1" applyAlignment="1">
      <alignment horizontal="center" vertical="center" wrapText="1"/>
    </xf>
    <xf numFmtId="0" fontId="2" fillId="6" borderId="2" xfId="0" applyFont="1" applyFill="1" applyBorder="1" applyAlignment="1">
      <alignment horizontal="center" vertical="center" wrapText="1"/>
    </xf>
    <xf numFmtId="0" fontId="2" fillId="10" borderId="2" xfId="0" applyFont="1" applyFill="1" applyBorder="1" applyAlignment="1">
      <alignment horizontal="center" vertical="center" wrapText="1"/>
    </xf>
    <xf numFmtId="0" fontId="2" fillId="7" borderId="2" xfId="0" applyFont="1" applyFill="1" applyBorder="1" applyAlignment="1">
      <alignment horizontal="center" vertical="center" wrapText="1"/>
    </xf>
    <xf numFmtId="0" fontId="2" fillId="11" borderId="2" xfId="0" applyFont="1" applyFill="1" applyBorder="1" applyAlignment="1">
      <alignment horizontal="center" vertical="center" wrapText="1"/>
    </xf>
    <xf numFmtId="0" fontId="3" fillId="12" borderId="2" xfId="0" applyFont="1" applyFill="1" applyBorder="1" applyAlignment="1">
      <alignment horizontal="center" vertical="center" wrapText="1"/>
    </xf>
    <xf numFmtId="0" fontId="3" fillId="14" borderId="2"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6" fillId="4" borderId="2" xfId="0" applyFont="1" applyFill="1" applyBorder="1" applyAlignment="1">
      <alignment horizontal="center" vertical="center" wrapText="1"/>
    </xf>
    <xf numFmtId="0" fontId="6" fillId="5" borderId="2" xfId="0" applyFont="1" applyFill="1" applyBorder="1" applyAlignment="1">
      <alignment horizontal="center" vertical="center" wrapText="1"/>
    </xf>
    <xf numFmtId="0" fontId="6" fillId="6" borderId="2" xfId="0" applyFont="1" applyFill="1" applyBorder="1" applyAlignment="1">
      <alignment horizontal="center" vertical="center" wrapText="1"/>
    </xf>
    <xf numFmtId="0" fontId="6" fillId="7" borderId="2" xfId="0" applyFont="1" applyFill="1" applyBorder="1" applyAlignment="1">
      <alignment horizontal="center" vertical="center" wrapText="1"/>
    </xf>
    <xf numFmtId="0" fontId="3" fillId="12" borderId="2" xfId="0" applyFont="1" applyFill="1" applyBorder="1" applyAlignment="1">
      <alignment horizontal="left" vertical="center" wrapText="1"/>
    </xf>
    <xf numFmtId="164" fontId="3" fillId="12" borderId="2" xfId="0" applyNumberFormat="1" applyFont="1" applyFill="1" applyBorder="1" applyAlignment="1">
      <alignment horizontal="center" vertical="center" wrapText="1"/>
    </xf>
    <xf numFmtId="2" fontId="3" fillId="12" borderId="2" xfId="0" applyNumberFormat="1" applyFont="1" applyFill="1" applyBorder="1" applyAlignment="1">
      <alignment horizontal="center" vertical="center" wrapText="1"/>
    </xf>
    <xf numFmtId="0" fontId="8" fillId="0" borderId="0" xfId="0" applyFont="1"/>
    <xf numFmtId="0" fontId="8" fillId="16" borderId="0" xfId="0" applyFont="1" applyFill="1"/>
    <xf numFmtId="0" fontId="8" fillId="17" borderId="0" xfId="0" applyFont="1" applyFill="1"/>
    <xf numFmtId="0" fontId="8" fillId="18" borderId="0" xfId="0" applyFont="1" applyFill="1"/>
    <xf numFmtId="0" fontId="8" fillId="19" borderId="0" xfId="0" applyFont="1" applyFill="1"/>
    <xf numFmtId="0" fontId="3" fillId="20" borderId="2" xfId="0" applyFont="1" applyFill="1" applyBorder="1" applyAlignment="1">
      <alignment horizontal="center" vertical="center" wrapText="1"/>
    </xf>
    <xf numFmtId="0" fontId="8" fillId="21" borderId="0" xfId="0" applyFont="1" applyFill="1"/>
    <xf numFmtId="0" fontId="8" fillId="22" borderId="0" xfId="0" applyFont="1" applyFill="1"/>
    <xf numFmtId="0" fontId="10" fillId="19" borderId="0" xfId="0" applyFont="1" applyFill="1"/>
    <xf numFmtId="0" fontId="8" fillId="23" borderId="0" xfId="0" applyFont="1" applyFill="1"/>
    <xf numFmtId="0" fontId="8" fillId="24" borderId="0" xfId="0" applyFont="1" applyFill="1"/>
    <xf numFmtId="0" fontId="8" fillId="25" borderId="0" xfId="0" applyFont="1" applyFill="1"/>
    <xf numFmtId="0" fontId="11" fillId="18" borderId="0" xfId="0" applyFont="1" applyFill="1"/>
    <xf numFmtId="0" fontId="1" fillId="7" borderId="1" xfId="0" applyFont="1" applyFill="1" applyBorder="1" applyAlignment="1">
      <alignment horizontal="center" vertical="center" wrapText="1"/>
    </xf>
    <xf numFmtId="0" fontId="4" fillId="13" borderId="0" xfId="0" applyFont="1" applyFill="1" applyAlignment="1">
      <alignment horizontal="left" vertical="center" wrapText="1"/>
    </xf>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7" fillId="15" borderId="1" xfId="0" applyFont="1" applyFill="1" applyBorder="1" applyAlignment="1">
      <alignment horizontal="left" vertical="center" wrapText="1"/>
    </xf>
    <xf numFmtId="0" fontId="5" fillId="2" borderId="0" xfId="0" applyFont="1" applyFill="1" applyAlignment="1">
      <alignment horizontal="center" vertical="center" wrapText="1"/>
    </xf>
    <xf numFmtId="0" fontId="3" fillId="0" borderId="2" xfId="0" applyFont="1" applyFill="1" applyBorder="1" applyAlignment="1">
      <alignment horizontal="center" vertical="center" wrapText="1"/>
    </xf>
    <xf numFmtId="0" fontId="8" fillId="0" borderId="0" xfId="0" applyFont="1"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7B0000"/>
      <rgbColor rgb="FF2D6A3F"/>
      <rgbColor rgb="FF000080"/>
      <rgbColor rgb="FF808000"/>
      <rgbColor rgb="FF800080"/>
      <rgbColor rgb="FF1D6B45"/>
      <rgbColor rgb="FFCCCCCC"/>
      <rgbColor rgb="FF808080"/>
      <rgbColor rgb="FF9999FF"/>
      <rgbColor rgb="FFB45309"/>
      <rgbColor rgb="FFFFF9C4"/>
      <rgbColor rgb="FFF8F9FA"/>
      <rgbColor rgb="FF4A1A7A"/>
      <rgbColor rgb="FFFF8080"/>
      <rgbColor rgb="FF0066CC"/>
      <rgbColor rgb="FFD6E4F7"/>
      <rgbColor rgb="FF000080"/>
      <rgbColor rgb="FFFF00FF"/>
      <rgbColor rgb="FFFFFF00"/>
      <rgbColor rgb="FF00FFFF"/>
      <rgbColor rgb="FF800080"/>
      <rgbColor rgb="FF991B1B"/>
      <rgbColor rgb="FF008080"/>
      <rgbColor rgb="FF0000FF"/>
      <rgbColor rgb="FF00CCFF"/>
      <rgbColor rgb="FFCCFFFF"/>
      <rgbColor rgb="FFCCFFCC"/>
      <rgbColor rgb="FFFFFF99"/>
      <rgbColor rgb="FF99CCFF"/>
      <rgbColor rgb="FFFF99CC"/>
      <rgbColor rgb="FFCC99FF"/>
      <rgbColor rgb="FFFFE4E1"/>
      <rgbColor rgb="FF2E75B6"/>
      <rgbColor rgb="FF33CCCC"/>
      <rgbColor rgb="FF99CC00"/>
      <rgbColor rgb="FFFFCC00"/>
      <rgbColor rgb="FFFF9900"/>
      <rgbColor rgb="FFFF6600"/>
      <rgbColor rgb="FF666699"/>
      <rgbColor rgb="FF969696"/>
      <rgbColor rgb="FF1F3864"/>
      <rgbColor rgb="FF339966"/>
      <rgbColor rgb="FF003300"/>
      <rgbColor rgb="FF333300"/>
      <rgbColor rgb="FF8B3A00"/>
      <rgbColor rgb="FF993366"/>
      <rgbColor rgb="FF5B2A8C"/>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62"/>
  <sheetViews>
    <sheetView tabSelected="1" topLeftCell="U1" zoomScale="140" zoomScaleNormal="140" workbookViewId="0">
      <pane ySplit="2" topLeftCell="A3" activePane="bottomLeft" state="frozen"/>
      <selection pane="bottomLeft" activeCell="AG5" sqref="AG5"/>
    </sheetView>
  </sheetViews>
  <sheetFormatPr baseColWidth="10" defaultColWidth="8.6640625" defaultRowHeight="15" x14ac:dyDescent="0.2"/>
  <cols>
    <col min="1" max="1" width="5" customWidth="1"/>
    <col min="2" max="2" width="18" customWidth="1"/>
    <col min="3" max="3" width="12" customWidth="1"/>
    <col min="4" max="4" width="28.83203125" customWidth="1"/>
    <col min="5" max="5" width="29.83203125" customWidth="1"/>
    <col min="6" max="6" width="11.5" customWidth="1"/>
    <col min="7" max="7" width="14.33203125" customWidth="1"/>
    <col min="8" max="8" width="44.83203125" customWidth="1"/>
    <col min="9" max="9" width="22.83203125" customWidth="1"/>
    <col min="10" max="10" width="38.6640625" customWidth="1"/>
    <col min="11" max="12" width="10" customWidth="1"/>
    <col min="13" max="13" width="58.33203125" customWidth="1"/>
    <col min="14" max="14" width="9.1640625" customWidth="1"/>
    <col min="15" max="16" width="8" customWidth="1"/>
    <col min="17" max="17" width="48" customWidth="1"/>
    <col min="18" max="18" width="85.83203125" customWidth="1"/>
    <col min="19" max="20" width="10" customWidth="1"/>
    <col min="21" max="21" width="141.1640625" customWidth="1"/>
    <col min="22" max="24" width="8" customWidth="1"/>
    <col min="25" max="25" width="29.33203125" customWidth="1"/>
    <col min="26" max="26" width="40.1640625" customWidth="1"/>
    <col min="27" max="28" width="10" customWidth="1"/>
    <col min="29" max="29" width="60.1640625" customWidth="1"/>
    <col min="30" max="32" width="8" customWidth="1"/>
    <col min="33" max="33" width="42.6640625" customWidth="1"/>
    <col min="34" max="34" width="18.83203125" customWidth="1"/>
    <col min="35" max="36" width="10" customWidth="1"/>
    <col min="37" max="37" width="23" customWidth="1"/>
    <col min="38" max="40" width="8" customWidth="1"/>
  </cols>
  <sheetData>
    <row r="1" spans="1:40" ht="19.5" customHeight="1" x14ac:dyDescent="0.2">
      <c r="A1" s="36"/>
      <c r="B1" s="36"/>
      <c r="C1" s="36"/>
      <c r="D1" s="37" t="s">
        <v>0</v>
      </c>
      <c r="E1" s="37"/>
      <c r="F1" s="37"/>
      <c r="G1" s="37"/>
      <c r="H1" s="37"/>
      <c r="I1" s="38" t="s">
        <v>1</v>
      </c>
      <c r="J1" s="38"/>
      <c r="K1" s="38"/>
      <c r="L1" s="38"/>
      <c r="M1" s="38"/>
      <c r="N1" s="38"/>
      <c r="O1" s="38"/>
      <c r="P1" s="38"/>
      <c r="Q1" s="39" t="s">
        <v>2</v>
      </c>
      <c r="R1" s="39"/>
      <c r="S1" s="39"/>
      <c r="T1" s="39"/>
      <c r="U1" s="39"/>
      <c r="V1" s="39"/>
      <c r="W1" s="39"/>
      <c r="X1" s="39"/>
      <c r="Y1" s="40" t="s">
        <v>3</v>
      </c>
      <c r="Z1" s="40"/>
      <c r="AA1" s="40"/>
      <c r="AB1" s="40"/>
      <c r="AC1" s="40"/>
      <c r="AD1" s="40"/>
      <c r="AE1" s="40"/>
      <c r="AF1" s="40"/>
      <c r="AG1" s="34" t="s">
        <v>4</v>
      </c>
      <c r="AH1" s="34"/>
      <c r="AI1" s="34"/>
      <c r="AJ1" s="34"/>
      <c r="AK1" s="34"/>
      <c r="AL1" s="34"/>
      <c r="AM1" s="34"/>
      <c r="AN1" s="34"/>
    </row>
    <row r="2" spans="1:40" ht="39.75" customHeight="1" x14ac:dyDescent="0.2">
      <c r="A2" s="1" t="s">
        <v>5</v>
      </c>
      <c r="B2" s="1" t="s">
        <v>6</v>
      </c>
      <c r="C2" s="1" t="s">
        <v>7</v>
      </c>
      <c r="D2" s="2" t="s">
        <v>8</v>
      </c>
      <c r="E2" s="2" t="s">
        <v>9</v>
      </c>
      <c r="F2" s="2" t="s">
        <v>10</v>
      </c>
      <c r="G2" s="2" t="s">
        <v>11</v>
      </c>
      <c r="H2" s="2" t="s">
        <v>12</v>
      </c>
      <c r="I2" s="3" t="s">
        <v>8</v>
      </c>
      <c r="J2" s="3" t="s">
        <v>9</v>
      </c>
      <c r="K2" s="3" t="s">
        <v>10</v>
      </c>
      <c r="L2" s="3" t="s">
        <v>11</v>
      </c>
      <c r="M2" s="3" t="s">
        <v>12</v>
      </c>
      <c r="N2" s="4" t="s">
        <v>13</v>
      </c>
      <c r="O2" s="4" t="s">
        <v>14</v>
      </c>
      <c r="P2" s="4" t="s">
        <v>15</v>
      </c>
      <c r="Q2" s="5" t="s">
        <v>8</v>
      </c>
      <c r="R2" s="5" t="s">
        <v>9</v>
      </c>
      <c r="S2" s="5" t="s">
        <v>10</v>
      </c>
      <c r="T2" s="5" t="s">
        <v>11</v>
      </c>
      <c r="U2" s="5" t="s">
        <v>12</v>
      </c>
      <c r="V2" s="6" t="s">
        <v>13</v>
      </c>
      <c r="W2" s="6" t="s">
        <v>14</v>
      </c>
      <c r="X2" s="6" t="s">
        <v>15</v>
      </c>
      <c r="Y2" s="7" t="s">
        <v>8</v>
      </c>
      <c r="Z2" s="7" t="s">
        <v>9</v>
      </c>
      <c r="AA2" s="7" t="s">
        <v>10</v>
      </c>
      <c r="AB2" s="7" t="s">
        <v>11</v>
      </c>
      <c r="AC2" s="7" t="s">
        <v>12</v>
      </c>
      <c r="AD2" s="8" t="s">
        <v>13</v>
      </c>
      <c r="AE2" s="8" t="s">
        <v>14</v>
      </c>
      <c r="AF2" s="8" t="s">
        <v>15</v>
      </c>
      <c r="AG2" s="9" t="s">
        <v>8</v>
      </c>
      <c r="AH2" s="9" t="s">
        <v>9</v>
      </c>
      <c r="AI2" s="9" t="s">
        <v>10</v>
      </c>
      <c r="AJ2" s="9" t="s">
        <v>11</v>
      </c>
      <c r="AK2" s="9" t="s">
        <v>12</v>
      </c>
      <c r="AL2" s="10" t="s">
        <v>13</v>
      </c>
      <c r="AM2" s="10" t="s">
        <v>14</v>
      </c>
      <c r="AN2" s="10" t="s">
        <v>15</v>
      </c>
    </row>
    <row r="3" spans="1:40" ht="15.75" customHeight="1" x14ac:dyDescent="0.2">
      <c r="A3" s="11">
        <v>1</v>
      </c>
      <c r="B3" s="11" t="s">
        <v>16</v>
      </c>
      <c r="C3" s="11" t="s">
        <v>17</v>
      </c>
      <c r="D3" s="44" t="s">
        <v>94</v>
      </c>
      <c r="E3" s="21" t="s">
        <v>150</v>
      </c>
      <c r="F3" s="21" t="s">
        <v>192</v>
      </c>
      <c r="G3" s="21" t="s">
        <v>650</v>
      </c>
      <c r="H3" s="21" t="s">
        <v>199</v>
      </c>
      <c r="I3" s="25" t="s">
        <v>217</v>
      </c>
      <c r="J3" s="21" t="s">
        <v>247</v>
      </c>
      <c r="K3" s="21" t="s">
        <v>192</v>
      </c>
      <c r="L3" s="21" t="s">
        <v>651</v>
      </c>
      <c r="M3" s="25" t="s">
        <v>544</v>
      </c>
      <c r="N3" s="12">
        <v>1</v>
      </c>
      <c r="O3" s="12">
        <v>1</v>
      </c>
      <c r="P3" s="12">
        <v>3</v>
      </c>
      <c r="Q3" s="25" t="s">
        <v>276</v>
      </c>
      <c r="R3" s="21" t="s">
        <v>329</v>
      </c>
      <c r="S3" s="21" t="s">
        <v>192</v>
      </c>
      <c r="T3" s="21" t="s">
        <v>650</v>
      </c>
      <c r="U3" s="25" t="s">
        <v>568</v>
      </c>
      <c r="V3" s="12">
        <v>1</v>
      </c>
      <c r="W3" s="12">
        <v>1</v>
      </c>
      <c r="X3" s="12">
        <v>3</v>
      </c>
      <c r="Y3" s="25" t="s">
        <v>387</v>
      </c>
      <c r="Z3" s="21" t="s">
        <v>402</v>
      </c>
      <c r="AA3" s="21" t="s">
        <v>192</v>
      </c>
      <c r="AB3" s="21" t="s">
        <v>650</v>
      </c>
      <c r="AC3" s="25" t="s">
        <v>446</v>
      </c>
      <c r="AD3" s="12">
        <v>1</v>
      </c>
      <c r="AE3" s="12">
        <v>1</v>
      </c>
      <c r="AF3" s="12">
        <v>3</v>
      </c>
      <c r="AG3" s="21" t="s">
        <v>448</v>
      </c>
      <c r="AH3" s="25" t="s">
        <v>506</v>
      </c>
      <c r="AI3" s="25" t="s">
        <v>192</v>
      </c>
      <c r="AJ3" s="21" t="s">
        <v>650</v>
      </c>
      <c r="AK3" s="21" t="s">
        <v>644</v>
      </c>
      <c r="AL3" s="12">
        <v>1</v>
      </c>
      <c r="AM3" s="12">
        <v>1</v>
      </c>
      <c r="AN3" s="12">
        <v>3</v>
      </c>
    </row>
    <row r="4" spans="1:40" ht="15.75" customHeight="1" x14ac:dyDescent="0.2">
      <c r="A4" s="11">
        <v>2</v>
      </c>
      <c r="B4" s="11" t="s">
        <v>18</v>
      </c>
      <c r="C4" s="11" t="s">
        <v>17</v>
      </c>
      <c r="D4" s="44" t="s">
        <v>95</v>
      </c>
      <c r="E4" s="21" t="s">
        <v>151</v>
      </c>
      <c r="F4" s="21" t="s">
        <v>193</v>
      </c>
      <c r="G4" s="21" t="s">
        <v>650</v>
      </c>
      <c r="H4" s="21" t="s">
        <v>197</v>
      </c>
      <c r="I4" s="25" t="s">
        <v>95</v>
      </c>
      <c r="J4" s="21" t="s">
        <v>248</v>
      </c>
      <c r="K4" s="21" t="s">
        <v>193</v>
      </c>
      <c r="L4" s="21" t="s">
        <v>650</v>
      </c>
      <c r="M4" s="25" t="s">
        <v>545</v>
      </c>
      <c r="N4" s="12">
        <v>1</v>
      </c>
      <c r="O4" s="12">
        <v>1</v>
      </c>
      <c r="P4" s="12">
        <v>3</v>
      </c>
      <c r="Q4" s="25" t="s">
        <v>277</v>
      </c>
      <c r="R4" s="21" t="s">
        <v>330</v>
      </c>
      <c r="S4" s="21" t="s">
        <v>193</v>
      </c>
      <c r="T4" s="21" t="s">
        <v>650</v>
      </c>
      <c r="U4" s="25" t="s">
        <v>569</v>
      </c>
      <c r="V4" s="12">
        <v>1</v>
      </c>
      <c r="W4" s="12">
        <v>1</v>
      </c>
      <c r="X4" s="12">
        <v>3</v>
      </c>
      <c r="Y4" s="25" t="s">
        <v>95</v>
      </c>
      <c r="Z4" s="21" t="s">
        <v>403</v>
      </c>
      <c r="AA4" s="21" t="s">
        <v>193</v>
      </c>
      <c r="AB4" s="21" t="s">
        <v>650</v>
      </c>
      <c r="AC4" s="25" t="s">
        <v>628</v>
      </c>
      <c r="AD4" s="12">
        <v>1</v>
      </c>
      <c r="AE4" s="12">
        <v>1</v>
      </c>
      <c r="AF4" s="12">
        <v>3</v>
      </c>
      <c r="AG4" s="21" t="s">
        <v>449</v>
      </c>
      <c r="AH4" s="25" t="s">
        <v>507</v>
      </c>
      <c r="AI4" s="25" t="s">
        <v>193</v>
      </c>
      <c r="AJ4" s="21" t="s">
        <v>650</v>
      </c>
      <c r="AK4" s="21" t="s">
        <v>645</v>
      </c>
      <c r="AL4" s="12">
        <v>1</v>
      </c>
      <c r="AM4" s="12">
        <v>1</v>
      </c>
      <c r="AN4" s="12">
        <v>3</v>
      </c>
    </row>
    <row r="5" spans="1:40" ht="15.75" customHeight="1" x14ac:dyDescent="0.2">
      <c r="A5" s="11">
        <v>3</v>
      </c>
      <c r="B5" s="11" t="s">
        <v>19</v>
      </c>
      <c r="C5" s="11" t="s">
        <v>17</v>
      </c>
      <c r="D5" s="44" t="s">
        <v>96</v>
      </c>
      <c r="E5" s="21" t="s">
        <v>152</v>
      </c>
      <c r="F5" s="21" t="s">
        <v>192</v>
      </c>
      <c r="G5" s="21" t="s">
        <v>650</v>
      </c>
      <c r="H5" s="21" t="s">
        <v>198</v>
      </c>
      <c r="I5" s="25" t="s">
        <v>96</v>
      </c>
      <c r="J5" s="21" t="s">
        <v>163</v>
      </c>
      <c r="K5" s="21" t="s">
        <v>192</v>
      </c>
      <c r="L5" s="21" t="s">
        <v>651</v>
      </c>
      <c r="M5" s="25" t="s">
        <v>544</v>
      </c>
      <c r="N5" s="12">
        <v>1</v>
      </c>
      <c r="O5" s="12">
        <v>1</v>
      </c>
      <c r="P5" s="12">
        <v>3</v>
      </c>
      <c r="Q5" s="25" t="s">
        <v>278</v>
      </c>
      <c r="R5" s="21" t="s">
        <v>331</v>
      </c>
      <c r="S5" s="21" t="s">
        <v>192</v>
      </c>
      <c r="T5" s="21" t="s">
        <v>650</v>
      </c>
      <c r="U5" s="25" t="s">
        <v>570</v>
      </c>
      <c r="V5" s="12">
        <v>1</v>
      </c>
      <c r="W5" s="12">
        <v>1</v>
      </c>
      <c r="X5" s="12">
        <v>3</v>
      </c>
      <c r="Y5" s="25" t="s">
        <v>96</v>
      </c>
      <c r="Z5" s="21" t="s">
        <v>404</v>
      </c>
      <c r="AA5" s="21" t="s">
        <v>194</v>
      </c>
      <c r="AB5" s="21" t="s">
        <v>650</v>
      </c>
      <c r="AC5" s="25" t="s">
        <v>442</v>
      </c>
      <c r="AD5" s="12">
        <v>1</v>
      </c>
      <c r="AE5" s="12">
        <v>1</v>
      </c>
      <c r="AF5" s="12">
        <v>3</v>
      </c>
      <c r="AG5" s="24" t="s">
        <v>450</v>
      </c>
      <c r="AH5" s="25" t="s">
        <v>652</v>
      </c>
      <c r="AI5" s="25" t="s">
        <v>192</v>
      </c>
      <c r="AJ5" s="21" t="s">
        <v>650</v>
      </c>
      <c r="AK5" s="21" t="s">
        <v>646</v>
      </c>
      <c r="AL5" s="12">
        <v>0</v>
      </c>
      <c r="AM5" s="12">
        <v>1</v>
      </c>
      <c r="AN5" s="12">
        <v>2</v>
      </c>
    </row>
    <row r="6" spans="1:40" ht="15.75" customHeight="1" x14ac:dyDescent="0.2">
      <c r="A6" s="11">
        <v>4</v>
      </c>
      <c r="B6" s="11" t="s">
        <v>20</v>
      </c>
      <c r="C6" s="11" t="s">
        <v>17</v>
      </c>
      <c r="D6" s="44" t="s">
        <v>97</v>
      </c>
      <c r="E6" s="21" t="s">
        <v>153</v>
      </c>
      <c r="F6" s="21" t="s">
        <v>192</v>
      </c>
      <c r="G6" s="21" t="s">
        <v>650</v>
      </c>
      <c r="H6" s="21" t="s">
        <v>199</v>
      </c>
      <c r="I6" s="25" t="s">
        <v>97</v>
      </c>
      <c r="J6" s="21" t="s">
        <v>153</v>
      </c>
      <c r="K6" s="21" t="s">
        <v>192</v>
      </c>
      <c r="L6" s="21" t="s">
        <v>650</v>
      </c>
      <c r="M6" s="25" t="s">
        <v>546</v>
      </c>
      <c r="N6" s="12">
        <v>1</v>
      </c>
      <c r="O6" s="12">
        <v>1</v>
      </c>
      <c r="P6" s="12">
        <v>3</v>
      </c>
      <c r="Q6" s="25" t="s">
        <v>279</v>
      </c>
      <c r="R6" s="21" t="s">
        <v>332</v>
      </c>
      <c r="S6" s="21" t="s">
        <v>192</v>
      </c>
      <c r="T6" s="21" t="s">
        <v>650</v>
      </c>
      <c r="U6" s="25" t="s">
        <v>571</v>
      </c>
      <c r="V6" s="12">
        <v>1</v>
      </c>
      <c r="W6" s="12">
        <v>1</v>
      </c>
      <c r="X6" s="12">
        <v>3</v>
      </c>
      <c r="Y6" s="25" t="s">
        <v>97</v>
      </c>
      <c r="Z6" s="21" t="s">
        <v>405</v>
      </c>
      <c r="AA6" s="21" t="s">
        <v>192</v>
      </c>
      <c r="AB6" s="21" t="s">
        <v>650</v>
      </c>
      <c r="AC6" s="25" t="s">
        <v>446</v>
      </c>
      <c r="AD6" s="12">
        <v>1</v>
      </c>
      <c r="AE6" s="12">
        <v>1</v>
      </c>
      <c r="AF6" s="12">
        <v>3</v>
      </c>
      <c r="AG6" s="21" t="s">
        <v>451</v>
      </c>
      <c r="AH6" s="25" t="s">
        <v>508</v>
      </c>
      <c r="AI6" s="25" t="s">
        <v>192</v>
      </c>
      <c r="AJ6" s="21" t="s">
        <v>650</v>
      </c>
      <c r="AK6" s="21" t="s">
        <v>643</v>
      </c>
      <c r="AL6" s="12">
        <v>1</v>
      </c>
      <c r="AM6" s="12">
        <v>1</v>
      </c>
      <c r="AN6" s="12">
        <v>3</v>
      </c>
    </row>
    <row r="7" spans="1:40" ht="15.75" customHeight="1" x14ac:dyDescent="0.2">
      <c r="A7" s="11">
        <v>5</v>
      </c>
      <c r="B7" s="11" t="s">
        <v>21</v>
      </c>
      <c r="C7" s="11" t="s">
        <v>17</v>
      </c>
      <c r="D7" s="44" t="s">
        <v>98</v>
      </c>
      <c r="E7" s="21" t="s">
        <v>154</v>
      </c>
      <c r="F7" s="21" t="s">
        <v>192</v>
      </c>
      <c r="G7" s="21" t="s">
        <v>650</v>
      </c>
      <c r="H7" s="21" t="s">
        <v>200</v>
      </c>
      <c r="I7" s="25" t="s">
        <v>218</v>
      </c>
      <c r="J7" s="21" t="s">
        <v>249</v>
      </c>
      <c r="K7" s="21" t="s">
        <v>192</v>
      </c>
      <c r="L7" s="21" t="s">
        <v>650</v>
      </c>
      <c r="M7" s="25" t="s">
        <v>544</v>
      </c>
      <c r="N7" s="12">
        <v>1</v>
      </c>
      <c r="O7" s="12">
        <v>1</v>
      </c>
      <c r="P7" s="12">
        <v>3</v>
      </c>
      <c r="Q7" s="25" t="s">
        <v>280</v>
      </c>
      <c r="R7" s="21" t="s">
        <v>333</v>
      </c>
      <c r="S7" s="21" t="s">
        <v>194</v>
      </c>
      <c r="T7" s="21" t="s">
        <v>650</v>
      </c>
      <c r="U7" s="25" t="s">
        <v>572</v>
      </c>
      <c r="V7" s="12">
        <v>1</v>
      </c>
      <c r="W7" s="12">
        <v>1</v>
      </c>
      <c r="X7" s="12">
        <v>3</v>
      </c>
      <c r="Y7" s="24" t="s">
        <v>98</v>
      </c>
      <c r="Z7" s="21" t="s">
        <v>249</v>
      </c>
      <c r="AA7" s="21" t="s">
        <v>194</v>
      </c>
      <c r="AB7" s="21" t="s">
        <v>650</v>
      </c>
      <c r="AC7" s="24" t="s">
        <v>435</v>
      </c>
      <c r="AD7" s="12">
        <v>1</v>
      </c>
      <c r="AE7" s="12">
        <v>1</v>
      </c>
      <c r="AF7" s="12">
        <v>1</v>
      </c>
      <c r="AG7" s="21" t="s">
        <v>452</v>
      </c>
      <c r="AH7" s="25" t="s">
        <v>509</v>
      </c>
      <c r="AI7" s="25" t="s">
        <v>192</v>
      </c>
      <c r="AJ7" s="21" t="s">
        <v>650</v>
      </c>
      <c r="AK7" s="21" t="s">
        <v>646</v>
      </c>
      <c r="AL7" s="12">
        <v>1</v>
      </c>
      <c r="AM7" s="12">
        <v>1</v>
      </c>
      <c r="AN7" s="12">
        <v>3</v>
      </c>
    </row>
    <row r="8" spans="1:40" ht="15.75" customHeight="1" x14ac:dyDescent="0.2">
      <c r="A8" s="11">
        <v>6</v>
      </c>
      <c r="B8" s="11" t="s">
        <v>22</v>
      </c>
      <c r="C8" s="11" t="s">
        <v>17</v>
      </c>
      <c r="D8" s="44" t="s">
        <v>99</v>
      </c>
      <c r="E8" s="21" t="s">
        <v>155</v>
      </c>
      <c r="F8" s="21" t="s">
        <v>192</v>
      </c>
      <c r="G8" s="21" t="s">
        <v>650</v>
      </c>
      <c r="H8" s="21" t="s">
        <v>201</v>
      </c>
      <c r="I8" s="25" t="s">
        <v>219</v>
      </c>
      <c r="J8" s="21" t="s">
        <v>247</v>
      </c>
      <c r="K8" s="21" t="s">
        <v>192</v>
      </c>
      <c r="L8" s="44" t="s">
        <v>650</v>
      </c>
      <c r="M8" s="25" t="s">
        <v>547</v>
      </c>
      <c r="N8" s="12">
        <v>1</v>
      </c>
      <c r="O8" s="12">
        <v>1</v>
      </c>
      <c r="P8" s="12">
        <v>3</v>
      </c>
      <c r="Q8" s="25" t="s">
        <v>281</v>
      </c>
      <c r="R8" s="21" t="s">
        <v>334</v>
      </c>
      <c r="S8" s="21" t="s">
        <v>192</v>
      </c>
      <c r="T8" s="21" t="s">
        <v>650</v>
      </c>
      <c r="U8" s="25" t="s">
        <v>573</v>
      </c>
      <c r="V8" s="12">
        <v>1</v>
      </c>
      <c r="W8" s="12">
        <v>1</v>
      </c>
      <c r="X8" s="12">
        <v>3</v>
      </c>
      <c r="Y8" s="25" t="s">
        <v>220</v>
      </c>
      <c r="Z8" s="21" t="s">
        <v>402</v>
      </c>
      <c r="AA8" s="21" t="s">
        <v>192</v>
      </c>
      <c r="AB8" s="21" t="s">
        <v>651</v>
      </c>
      <c r="AC8" s="25" t="s">
        <v>629</v>
      </c>
      <c r="AD8" s="12">
        <v>1</v>
      </c>
      <c r="AE8" s="12">
        <v>1</v>
      </c>
      <c r="AF8" s="12">
        <v>3</v>
      </c>
      <c r="AG8" s="21" t="s">
        <v>453</v>
      </c>
      <c r="AH8" s="25" t="s">
        <v>510</v>
      </c>
      <c r="AI8" s="25" t="s">
        <v>192</v>
      </c>
      <c r="AJ8" s="21" t="s">
        <v>650</v>
      </c>
      <c r="AK8" s="21" t="s">
        <v>646</v>
      </c>
      <c r="AL8" s="12">
        <v>1</v>
      </c>
      <c r="AM8" s="12">
        <v>1</v>
      </c>
      <c r="AN8" s="12">
        <v>3</v>
      </c>
    </row>
    <row r="9" spans="1:40" ht="15.75" customHeight="1" x14ac:dyDescent="0.2">
      <c r="A9" s="11">
        <v>7</v>
      </c>
      <c r="B9" s="11" t="s">
        <v>23</v>
      </c>
      <c r="C9" s="11" t="s">
        <v>17</v>
      </c>
      <c r="D9" s="44" t="s">
        <v>100</v>
      </c>
      <c r="E9" s="21" t="s">
        <v>156</v>
      </c>
      <c r="F9" s="21" t="s">
        <v>194</v>
      </c>
      <c r="G9" s="21" t="s">
        <v>650</v>
      </c>
      <c r="H9" s="21" t="s">
        <v>201</v>
      </c>
      <c r="I9" s="24" t="s">
        <v>100</v>
      </c>
      <c r="J9" s="21" t="s">
        <v>153</v>
      </c>
      <c r="K9" s="21" t="s">
        <v>194</v>
      </c>
      <c r="L9" s="44" t="s">
        <v>651</v>
      </c>
      <c r="M9" s="24" t="s">
        <v>625</v>
      </c>
      <c r="N9" s="12">
        <v>1</v>
      </c>
      <c r="O9" s="12">
        <v>1</v>
      </c>
      <c r="P9" s="12">
        <v>1</v>
      </c>
      <c r="Q9" s="25" t="s">
        <v>282</v>
      </c>
      <c r="R9" s="21" t="s">
        <v>335</v>
      </c>
      <c r="S9" s="21" t="s">
        <v>194</v>
      </c>
      <c r="T9" s="21" t="s">
        <v>650</v>
      </c>
      <c r="U9" s="25" t="s">
        <v>574</v>
      </c>
      <c r="V9" s="12">
        <v>1</v>
      </c>
      <c r="W9" s="12">
        <v>1</v>
      </c>
      <c r="X9" s="12">
        <v>3</v>
      </c>
      <c r="Y9" s="24" t="s">
        <v>100</v>
      </c>
      <c r="Z9" s="21" t="s">
        <v>247</v>
      </c>
      <c r="AA9" s="21" t="s">
        <v>194</v>
      </c>
      <c r="AB9" s="21" t="s">
        <v>650</v>
      </c>
      <c r="AC9" s="24" t="s">
        <v>436</v>
      </c>
      <c r="AD9" s="12">
        <v>1</v>
      </c>
      <c r="AE9" s="12">
        <v>1</v>
      </c>
      <c r="AF9" s="12">
        <v>1</v>
      </c>
      <c r="AG9" s="21" t="s">
        <v>454</v>
      </c>
      <c r="AH9" s="31" t="s">
        <v>511</v>
      </c>
      <c r="AI9" s="25" t="s">
        <v>192</v>
      </c>
      <c r="AJ9" s="21" t="s">
        <v>650</v>
      </c>
      <c r="AK9" s="21" t="s">
        <v>646</v>
      </c>
      <c r="AL9" s="12">
        <v>1</v>
      </c>
      <c r="AM9" s="12">
        <v>0</v>
      </c>
      <c r="AN9" s="12">
        <v>3</v>
      </c>
    </row>
    <row r="10" spans="1:40" ht="15.75" customHeight="1" x14ac:dyDescent="0.2">
      <c r="A10" s="11">
        <v>8</v>
      </c>
      <c r="B10" s="11" t="s">
        <v>24</v>
      </c>
      <c r="C10" s="11" t="s">
        <v>17</v>
      </c>
      <c r="D10" s="44" t="s">
        <v>101</v>
      </c>
      <c r="E10" s="21" t="s">
        <v>157</v>
      </c>
      <c r="F10" s="21" t="s">
        <v>192</v>
      </c>
      <c r="G10" s="21" t="s">
        <v>650</v>
      </c>
      <c r="H10" s="21" t="s">
        <v>624</v>
      </c>
      <c r="I10" s="25" t="s">
        <v>220</v>
      </c>
      <c r="J10" s="21" t="s">
        <v>247</v>
      </c>
      <c r="K10" s="21" t="s">
        <v>192</v>
      </c>
      <c r="L10" s="44" t="s">
        <v>651</v>
      </c>
      <c r="M10" s="25" t="s">
        <v>549</v>
      </c>
      <c r="N10" s="12">
        <v>1</v>
      </c>
      <c r="O10" s="12">
        <v>1</v>
      </c>
      <c r="P10" s="12">
        <v>3</v>
      </c>
      <c r="Q10" s="25" t="s">
        <v>283</v>
      </c>
      <c r="R10" s="21" t="s">
        <v>336</v>
      </c>
      <c r="S10" s="21" t="s">
        <v>192</v>
      </c>
      <c r="T10" s="21" t="s">
        <v>650</v>
      </c>
      <c r="U10" s="25" t="s">
        <v>575</v>
      </c>
      <c r="V10" s="12">
        <v>1</v>
      </c>
      <c r="W10" s="12">
        <v>1</v>
      </c>
      <c r="X10" s="12">
        <v>3</v>
      </c>
      <c r="Y10" s="25" t="s">
        <v>220</v>
      </c>
      <c r="Z10" s="21" t="s">
        <v>247</v>
      </c>
      <c r="AA10" s="21" t="s">
        <v>194</v>
      </c>
      <c r="AB10" s="21" t="s">
        <v>650</v>
      </c>
      <c r="AC10" s="25" t="s">
        <v>434</v>
      </c>
      <c r="AD10" s="12">
        <v>1</v>
      </c>
      <c r="AE10" s="12">
        <v>1</v>
      </c>
      <c r="AF10" s="12">
        <v>3</v>
      </c>
      <c r="AG10" s="21" t="s">
        <v>455</v>
      </c>
      <c r="AH10" s="25" t="s">
        <v>512</v>
      </c>
      <c r="AI10" s="25" t="s">
        <v>192</v>
      </c>
      <c r="AJ10" s="21" t="s">
        <v>650</v>
      </c>
      <c r="AK10" s="21" t="s">
        <v>646</v>
      </c>
      <c r="AL10" s="12">
        <v>1</v>
      </c>
      <c r="AM10" s="12">
        <v>1</v>
      </c>
      <c r="AN10" s="12">
        <v>2</v>
      </c>
    </row>
    <row r="11" spans="1:40" ht="15.75" customHeight="1" x14ac:dyDescent="0.2">
      <c r="A11" s="11">
        <v>9</v>
      </c>
      <c r="B11" s="11" t="s">
        <v>25</v>
      </c>
      <c r="C11" s="11" t="s">
        <v>17</v>
      </c>
      <c r="D11" s="44" t="s">
        <v>102</v>
      </c>
      <c r="E11" s="21" t="s">
        <v>158</v>
      </c>
      <c r="F11" s="21" t="s">
        <v>192</v>
      </c>
      <c r="G11" s="21" t="s">
        <v>650</v>
      </c>
      <c r="H11" s="21" t="s">
        <v>199</v>
      </c>
      <c r="I11" s="24" t="s">
        <v>98</v>
      </c>
      <c r="J11" s="21" t="s">
        <v>250</v>
      </c>
      <c r="K11" s="21" t="s">
        <v>194</v>
      </c>
      <c r="L11" s="44" t="s">
        <v>650</v>
      </c>
      <c r="M11" s="24" t="s">
        <v>626</v>
      </c>
      <c r="N11" s="12">
        <v>1</v>
      </c>
      <c r="O11" s="12">
        <v>1</v>
      </c>
      <c r="P11" s="12">
        <v>1</v>
      </c>
      <c r="Q11" s="25" t="s">
        <v>284</v>
      </c>
      <c r="R11" s="21" t="s">
        <v>337</v>
      </c>
      <c r="S11" s="21" t="s">
        <v>194</v>
      </c>
      <c r="T11" s="21" t="s">
        <v>650</v>
      </c>
      <c r="U11" s="25" t="s">
        <v>576</v>
      </c>
      <c r="V11" s="12">
        <v>1</v>
      </c>
      <c r="W11" s="12">
        <v>1</v>
      </c>
      <c r="X11" s="12">
        <v>3</v>
      </c>
      <c r="Y11" s="24" t="s">
        <v>98</v>
      </c>
      <c r="Z11" s="21" t="s">
        <v>406</v>
      </c>
      <c r="AA11" s="21" t="s">
        <v>194</v>
      </c>
      <c r="AB11" s="21" t="s">
        <v>650</v>
      </c>
      <c r="AC11" s="24" t="s">
        <v>437</v>
      </c>
      <c r="AD11" s="12">
        <v>1</v>
      </c>
      <c r="AE11" s="12">
        <v>1</v>
      </c>
      <c r="AF11" s="12">
        <v>1</v>
      </c>
      <c r="AG11" s="21" t="s">
        <v>456</v>
      </c>
      <c r="AH11" s="25" t="s">
        <v>653</v>
      </c>
      <c r="AI11" s="25" t="s">
        <v>192</v>
      </c>
      <c r="AJ11" s="21" t="s">
        <v>650</v>
      </c>
      <c r="AK11" s="21" t="s">
        <v>646</v>
      </c>
      <c r="AL11" s="12">
        <v>1</v>
      </c>
      <c r="AM11" s="12">
        <v>1</v>
      </c>
      <c r="AN11" s="12">
        <v>3</v>
      </c>
    </row>
    <row r="12" spans="1:40" ht="15.75" customHeight="1" x14ac:dyDescent="0.2">
      <c r="A12" s="11">
        <v>10</v>
      </c>
      <c r="B12" s="11" t="s">
        <v>26</v>
      </c>
      <c r="C12" s="11" t="s">
        <v>17</v>
      </c>
      <c r="D12" s="44" t="s">
        <v>103</v>
      </c>
      <c r="E12" s="21" t="s">
        <v>159</v>
      </c>
      <c r="F12" s="21" t="s">
        <v>192</v>
      </c>
      <c r="G12" s="21" t="s">
        <v>650</v>
      </c>
      <c r="H12" s="21" t="s">
        <v>203</v>
      </c>
      <c r="I12" s="25" t="s">
        <v>221</v>
      </c>
      <c r="J12" s="21" t="s">
        <v>159</v>
      </c>
      <c r="K12" s="21" t="s">
        <v>194</v>
      </c>
      <c r="L12" s="44" t="s">
        <v>650</v>
      </c>
      <c r="M12" s="25" t="s">
        <v>546</v>
      </c>
      <c r="N12" s="12">
        <v>1</v>
      </c>
      <c r="O12" s="12">
        <v>1</v>
      </c>
      <c r="P12" s="12">
        <v>3</v>
      </c>
      <c r="Q12" s="25" t="s">
        <v>285</v>
      </c>
      <c r="R12" s="21" t="s">
        <v>338</v>
      </c>
      <c r="S12" s="21" t="s">
        <v>192</v>
      </c>
      <c r="T12" s="21" t="s">
        <v>650</v>
      </c>
      <c r="U12" s="25" t="s">
        <v>577</v>
      </c>
      <c r="V12" s="12">
        <v>1</v>
      </c>
      <c r="W12" s="12">
        <v>1</v>
      </c>
      <c r="X12" s="12">
        <v>3</v>
      </c>
      <c r="Y12" s="25" t="s">
        <v>221</v>
      </c>
      <c r="Z12" s="21" t="s">
        <v>407</v>
      </c>
      <c r="AA12" s="21" t="s">
        <v>192</v>
      </c>
      <c r="AB12" s="21" t="s">
        <v>650</v>
      </c>
      <c r="AC12" s="25" t="s">
        <v>438</v>
      </c>
      <c r="AD12" s="12">
        <v>1</v>
      </c>
      <c r="AE12" s="12">
        <v>1</v>
      </c>
      <c r="AF12" s="12">
        <v>3</v>
      </c>
      <c r="AG12" s="21" t="s">
        <v>457</v>
      </c>
      <c r="AH12" s="25" t="s">
        <v>654</v>
      </c>
      <c r="AI12" s="25" t="s">
        <v>192</v>
      </c>
      <c r="AJ12" s="21" t="s">
        <v>650</v>
      </c>
      <c r="AK12" s="21" t="s">
        <v>646</v>
      </c>
      <c r="AL12" s="12">
        <v>1</v>
      </c>
      <c r="AM12" s="12">
        <v>1</v>
      </c>
      <c r="AN12" s="12">
        <v>3</v>
      </c>
    </row>
    <row r="13" spans="1:40" ht="15.75" customHeight="1" x14ac:dyDescent="0.2">
      <c r="A13" s="11">
        <v>11</v>
      </c>
      <c r="B13" s="11" t="s">
        <v>27</v>
      </c>
      <c r="C13" s="11" t="s">
        <v>17</v>
      </c>
      <c r="D13" s="44" t="s">
        <v>98</v>
      </c>
      <c r="E13" s="21" t="s">
        <v>160</v>
      </c>
      <c r="F13" s="21" t="s">
        <v>192</v>
      </c>
      <c r="G13" s="21" t="s">
        <v>650</v>
      </c>
      <c r="H13" s="21" t="s">
        <v>204</v>
      </c>
      <c r="I13" s="25" t="s">
        <v>98</v>
      </c>
      <c r="J13" s="21" t="s">
        <v>249</v>
      </c>
      <c r="K13" s="21" t="s">
        <v>192</v>
      </c>
      <c r="L13" s="44" t="s">
        <v>650</v>
      </c>
      <c r="M13" s="25" t="s">
        <v>546</v>
      </c>
      <c r="N13" s="12">
        <v>1</v>
      </c>
      <c r="O13" s="12">
        <v>1</v>
      </c>
      <c r="P13" s="12">
        <v>3</v>
      </c>
      <c r="Q13" s="25" t="s">
        <v>286</v>
      </c>
      <c r="R13" s="21" t="s">
        <v>339</v>
      </c>
      <c r="S13" s="21" t="s">
        <v>192</v>
      </c>
      <c r="T13" s="21" t="s">
        <v>650</v>
      </c>
      <c r="U13" s="25" t="s">
        <v>578</v>
      </c>
      <c r="V13" s="12">
        <v>1</v>
      </c>
      <c r="W13" s="12">
        <v>1</v>
      </c>
      <c r="X13" s="12">
        <v>3</v>
      </c>
      <c r="Y13" s="25" t="s">
        <v>98</v>
      </c>
      <c r="Z13" s="21" t="s">
        <v>408</v>
      </c>
      <c r="AA13" s="21" t="s">
        <v>192</v>
      </c>
      <c r="AB13" s="21" t="s">
        <v>650</v>
      </c>
      <c r="AC13" s="25" t="s">
        <v>439</v>
      </c>
      <c r="AD13" s="12">
        <v>1</v>
      </c>
      <c r="AE13" s="12">
        <v>1</v>
      </c>
      <c r="AF13" s="12">
        <v>3</v>
      </c>
      <c r="AG13" s="30" t="s">
        <v>458</v>
      </c>
      <c r="AH13" s="31" t="s">
        <v>522</v>
      </c>
      <c r="AI13" s="25" t="s">
        <v>192</v>
      </c>
      <c r="AJ13" s="21" t="s">
        <v>650</v>
      </c>
      <c r="AK13" s="30" t="s">
        <v>645</v>
      </c>
      <c r="AL13" s="12">
        <v>1</v>
      </c>
      <c r="AM13" s="12">
        <v>0</v>
      </c>
      <c r="AN13" s="12">
        <v>1</v>
      </c>
    </row>
    <row r="14" spans="1:40" ht="15.75" customHeight="1" x14ac:dyDescent="0.2">
      <c r="A14" s="11">
        <v>12</v>
      </c>
      <c r="B14" s="11" t="s">
        <v>28</v>
      </c>
      <c r="C14" s="11" t="s">
        <v>29</v>
      </c>
      <c r="D14" s="44" t="s">
        <v>104</v>
      </c>
      <c r="E14" s="21" t="s">
        <v>161</v>
      </c>
      <c r="F14" s="21" t="s">
        <v>192</v>
      </c>
      <c r="G14" s="21" t="s">
        <v>650</v>
      </c>
      <c r="H14" s="44" t="s">
        <v>205</v>
      </c>
      <c r="I14" s="25" t="s">
        <v>222</v>
      </c>
      <c r="J14" s="21" t="s">
        <v>161</v>
      </c>
      <c r="K14" s="21" t="s">
        <v>192</v>
      </c>
      <c r="L14" s="44" t="s">
        <v>650</v>
      </c>
      <c r="M14" s="25" t="s">
        <v>546</v>
      </c>
      <c r="N14" s="12">
        <v>1</v>
      </c>
      <c r="O14" s="12">
        <v>1</v>
      </c>
      <c r="P14" s="12">
        <v>3</v>
      </c>
      <c r="Q14" s="25" t="s">
        <v>287</v>
      </c>
      <c r="R14" s="21" t="s">
        <v>340</v>
      </c>
      <c r="S14" s="21" t="s">
        <v>192</v>
      </c>
      <c r="T14" s="21" t="s">
        <v>650</v>
      </c>
      <c r="U14" s="25" t="s">
        <v>544</v>
      </c>
      <c r="V14" s="12">
        <v>1</v>
      </c>
      <c r="W14" s="12">
        <v>1</v>
      </c>
      <c r="X14" s="12">
        <v>3</v>
      </c>
      <c r="Y14" s="25" t="s">
        <v>104</v>
      </c>
      <c r="Z14" s="21" t="s">
        <v>161</v>
      </c>
      <c r="AA14" s="21" t="s">
        <v>192</v>
      </c>
      <c r="AB14" s="21" t="s">
        <v>650</v>
      </c>
      <c r="AC14" s="25" t="s">
        <v>446</v>
      </c>
      <c r="AD14" s="12">
        <v>1</v>
      </c>
      <c r="AE14" s="12">
        <v>1</v>
      </c>
      <c r="AF14" s="12">
        <v>3</v>
      </c>
      <c r="AG14" s="24" t="s">
        <v>459</v>
      </c>
      <c r="AH14" s="25" t="s">
        <v>513</v>
      </c>
      <c r="AI14" s="21" t="s">
        <v>194</v>
      </c>
      <c r="AJ14" s="21" t="s">
        <v>650</v>
      </c>
      <c r="AK14" s="21" t="s">
        <v>646</v>
      </c>
      <c r="AL14" s="12">
        <v>0</v>
      </c>
      <c r="AM14" s="12">
        <v>1</v>
      </c>
      <c r="AN14" s="12">
        <v>3</v>
      </c>
    </row>
    <row r="15" spans="1:40" ht="15.75" customHeight="1" x14ac:dyDescent="0.2">
      <c r="A15" s="11">
        <v>13</v>
      </c>
      <c r="B15" s="11" t="s">
        <v>30</v>
      </c>
      <c r="C15" s="11" t="s">
        <v>29</v>
      </c>
      <c r="D15" s="21" t="s">
        <v>105</v>
      </c>
      <c r="E15" s="21" t="s">
        <v>161</v>
      </c>
      <c r="F15" s="21" t="s">
        <v>192</v>
      </c>
      <c r="G15" s="21" t="s">
        <v>651</v>
      </c>
      <c r="H15" s="44" t="s">
        <v>206</v>
      </c>
      <c r="I15" s="25" t="s">
        <v>223</v>
      </c>
      <c r="J15" s="21" t="s">
        <v>161</v>
      </c>
      <c r="K15" s="21" t="s">
        <v>192</v>
      </c>
      <c r="L15" s="44" t="s">
        <v>650</v>
      </c>
      <c r="M15" s="25" t="s">
        <v>546</v>
      </c>
      <c r="N15" s="12">
        <v>1</v>
      </c>
      <c r="O15" s="12">
        <v>1</v>
      </c>
      <c r="P15" s="12">
        <v>3</v>
      </c>
      <c r="Q15" s="25" t="s">
        <v>288</v>
      </c>
      <c r="R15" s="21" t="s">
        <v>341</v>
      </c>
      <c r="S15" s="21" t="s">
        <v>192</v>
      </c>
      <c r="T15" s="21" t="s">
        <v>650</v>
      </c>
      <c r="U15" s="25" t="s">
        <v>579</v>
      </c>
      <c r="V15" s="12">
        <v>1</v>
      </c>
      <c r="W15" s="12">
        <v>1</v>
      </c>
      <c r="X15" s="12">
        <v>3</v>
      </c>
      <c r="Y15" s="25" t="s">
        <v>388</v>
      </c>
      <c r="Z15" s="21" t="s">
        <v>161</v>
      </c>
      <c r="AA15" s="21" t="s">
        <v>194</v>
      </c>
      <c r="AB15" s="21" t="s">
        <v>650</v>
      </c>
      <c r="AC15" s="25" t="s">
        <v>630</v>
      </c>
      <c r="AD15" s="12">
        <v>1</v>
      </c>
      <c r="AE15" s="12">
        <v>1</v>
      </c>
      <c r="AF15" s="12">
        <v>3</v>
      </c>
      <c r="AG15" s="21" t="s">
        <v>460</v>
      </c>
      <c r="AH15" s="24" t="s">
        <v>514</v>
      </c>
      <c r="AI15" s="21" t="s">
        <v>192</v>
      </c>
      <c r="AJ15" s="21" t="s">
        <v>650</v>
      </c>
      <c r="AK15" s="21" t="s">
        <v>643</v>
      </c>
      <c r="AL15" s="12">
        <v>1</v>
      </c>
      <c r="AM15" s="12">
        <v>0</v>
      </c>
      <c r="AN15" s="12">
        <v>3</v>
      </c>
    </row>
    <row r="16" spans="1:40" ht="15.75" customHeight="1" x14ac:dyDescent="0.2">
      <c r="A16" s="11">
        <v>14</v>
      </c>
      <c r="B16" s="11" t="s">
        <v>31</v>
      </c>
      <c r="C16" s="11" t="s">
        <v>29</v>
      </c>
      <c r="D16" s="21" t="s">
        <v>106</v>
      </c>
      <c r="E16" s="21" t="s">
        <v>162</v>
      </c>
      <c r="F16" s="21" t="s">
        <v>192</v>
      </c>
      <c r="G16" s="21" t="s">
        <v>651</v>
      </c>
      <c r="H16" s="44" t="s">
        <v>207</v>
      </c>
      <c r="I16" s="25" t="s">
        <v>224</v>
      </c>
      <c r="J16" s="21" t="s">
        <v>251</v>
      </c>
      <c r="K16" s="21" t="s">
        <v>192</v>
      </c>
      <c r="L16" s="44" t="s">
        <v>651</v>
      </c>
      <c r="M16" s="25" t="s">
        <v>550</v>
      </c>
      <c r="N16" s="12">
        <v>1</v>
      </c>
      <c r="O16" s="12">
        <v>1</v>
      </c>
      <c r="P16" s="12">
        <v>3</v>
      </c>
      <c r="Q16" s="25" t="s">
        <v>289</v>
      </c>
      <c r="R16" s="21" t="s">
        <v>342</v>
      </c>
      <c r="S16" s="21" t="s">
        <v>192</v>
      </c>
      <c r="T16" s="21" t="s">
        <v>650</v>
      </c>
      <c r="U16" s="25" t="s">
        <v>580</v>
      </c>
      <c r="V16" s="12">
        <v>1</v>
      </c>
      <c r="W16" s="12">
        <v>1</v>
      </c>
      <c r="X16" s="12">
        <v>3</v>
      </c>
      <c r="Y16" s="25" t="s">
        <v>106</v>
      </c>
      <c r="Z16" s="21" t="s">
        <v>409</v>
      </c>
      <c r="AA16" s="21" t="s">
        <v>192</v>
      </c>
      <c r="AB16" s="21" t="s">
        <v>650</v>
      </c>
      <c r="AC16" s="25" t="s">
        <v>446</v>
      </c>
      <c r="AD16" s="12">
        <v>1</v>
      </c>
      <c r="AE16" s="12">
        <v>1</v>
      </c>
      <c r="AF16" s="12">
        <v>3</v>
      </c>
      <c r="AG16" s="21" t="s">
        <v>461</v>
      </c>
      <c r="AH16" s="25" t="s">
        <v>515</v>
      </c>
      <c r="AI16" s="21" t="s">
        <v>192</v>
      </c>
      <c r="AJ16" s="21" t="s">
        <v>650</v>
      </c>
      <c r="AK16" s="21" t="s">
        <v>643</v>
      </c>
      <c r="AL16" s="12">
        <v>1</v>
      </c>
      <c r="AM16" s="12">
        <v>1</v>
      </c>
      <c r="AN16" s="12">
        <v>3</v>
      </c>
    </row>
    <row r="17" spans="1:40" ht="15.75" customHeight="1" x14ac:dyDescent="0.2">
      <c r="A17" s="11">
        <v>15</v>
      </c>
      <c r="B17" s="11" t="s">
        <v>32</v>
      </c>
      <c r="C17" s="11" t="s">
        <v>29</v>
      </c>
      <c r="D17" s="21" t="s">
        <v>107</v>
      </c>
      <c r="E17" s="21" t="s">
        <v>163</v>
      </c>
      <c r="F17" s="21" t="s">
        <v>192</v>
      </c>
      <c r="G17" s="21" t="s">
        <v>651</v>
      </c>
      <c r="H17" s="44" t="s">
        <v>627</v>
      </c>
      <c r="I17" s="25" t="s">
        <v>107</v>
      </c>
      <c r="J17" s="21" t="s">
        <v>163</v>
      </c>
      <c r="K17" s="21" t="s">
        <v>194</v>
      </c>
      <c r="L17" s="44" t="s">
        <v>651</v>
      </c>
      <c r="M17" s="25" t="s">
        <v>551</v>
      </c>
      <c r="N17" s="12">
        <v>1</v>
      </c>
      <c r="O17" s="12">
        <v>1</v>
      </c>
      <c r="P17" s="12">
        <v>3</v>
      </c>
      <c r="Q17" s="25" t="s">
        <v>107</v>
      </c>
      <c r="R17" s="21" t="s">
        <v>343</v>
      </c>
      <c r="S17" s="21" t="s">
        <v>192</v>
      </c>
      <c r="T17" s="21" t="s">
        <v>651</v>
      </c>
      <c r="U17" s="25" t="s">
        <v>581</v>
      </c>
      <c r="V17" s="12">
        <v>1</v>
      </c>
      <c r="W17" s="12">
        <v>1</v>
      </c>
      <c r="X17" s="12">
        <v>3</v>
      </c>
      <c r="Y17" s="25" t="s">
        <v>107</v>
      </c>
      <c r="Z17" s="21" t="s">
        <v>247</v>
      </c>
      <c r="AA17" s="21" t="s">
        <v>194</v>
      </c>
      <c r="AB17" s="21" t="s">
        <v>650</v>
      </c>
      <c r="AC17" s="25" t="s">
        <v>442</v>
      </c>
      <c r="AD17" s="12">
        <v>1</v>
      </c>
      <c r="AE17" s="12">
        <v>1</v>
      </c>
      <c r="AF17" s="12">
        <v>3</v>
      </c>
      <c r="AG17" s="21" t="s">
        <v>462</v>
      </c>
      <c r="AH17" s="25" t="s">
        <v>652</v>
      </c>
      <c r="AI17" s="21" t="s">
        <v>192</v>
      </c>
      <c r="AJ17" s="21" t="s">
        <v>650</v>
      </c>
      <c r="AK17" s="21" t="s">
        <v>655</v>
      </c>
      <c r="AL17" s="12">
        <v>1</v>
      </c>
      <c r="AM17" s="12">
        <v>1</v>
      </c>
      <c r="AN17" s="12">
        <v>3</v>
      </c>
    </row>
    <row r="18" spans="1:40" ht="15.75" customHeight="1" x14ac:dyDescent="0.2">
      <c r="A18" s="11">
        <v>16</v>
      </c>
      <c r="B18" s="11" t="s">
        <v>33</v>
      </c>
      <c r="C18" s="11" t="s">
        <v>29</v>
      </c>
      <c r="D18" s="21" t="s">
        <v>108</v>
      </c>
      <c r="E18" s="21" t="s">
        <v>164</v>
      </c>
      <c r="F18" s="21" t="s">
        <v>192</v>
      </c>
      <c r="G18" s="21" t="s">
        <v>651</v>
      </c>
      <c r="H18" s="44" t="s">
        <v>199</v>
      </c>
      <c r="I18" s="25" t="s">
        <v>225</v>
      </c>
      <c r="J18" s="21" t="s">
        <v>252</v>
      </c>
      <c r="K18" s="21" t="s">
        <v>192</v>
      </c>
      <c r="L18" s="44" t="s">
        <v>651</v>
      </c>
      <c r="M18" s="25" t="s">
        <v>552</v>
      </c>
      <c r="N18" s="12">
        <v>1</v>
      </c>
      <c r="O18" s="12">
        <v>1</v>
      </c>
      <c r="P18" s="12">
        <v>3</v>
      </c>
      <c r="Q18" s="25" t="s">
        <v>290</v>
      </c>
      <c r="R18" s="21" t="s">
        <v>344</v>
      </c>
      <c r="S18" s="21" t="s">
        <v>192</v>
      </c>
      <c r="T18" s="21" t="s">
        <v>650</v>
      </c>
      <c r="U18" s="25" t="s">
        <v>582</v>
      </c>
      <c r="V18" s="12">
        <v>1</v>
      </c>
      <c r="W18" s="12">
        <v>1</v>
      </c>
      <c r="X18" s="12">
        <v>3</v>
      </c>
      <c r="Y18" s="25" t="s">
        <v>632</v>
      </c>
      <c r="Z18" s="21" t="s">
        <v>410</v>
      </c>
      <c r="AA18" s="21" t="s">
        <v>192</v>
      </c>
      <c r="AB18" s="21" t="s">
        <v>650</v>
      </c>
      <c r="AC18" s="25" t="s">
        <v>631</v>
      </c>
      <c r="AD18" s="12">
        <v>1</v>
      </c>
      <c r="AE18" s="12">
        <v>1</v>
      </c>
      <c r="AF18" s="12">
        <v>3</v>
      </c>
      <c r="AG18" s="21" t="s">
        <v>463</v>
      </c>
      <c r="AH18" s="25" t="s">
        <v>533</v>
      </c>
      <c r="AI18" s="21" t="s">
        <v>192</v>
      </c>
      <c r="AJ18" s="21" t="s">
        <v>651</v>
      </c>
      <c r="AK18" s="21" t="s">
        <v>643</v>
      </c>
      <c r="AL18" s="12">
        <v>1</v>
      </c>
      <c r="AM18" s="12">
        <v>1</v>
      </c>
      <c r="AN18" s="12">
        <v>3</v>
      </c>
    </row>
    <row r="19" spans="1:40" ht="15.75" customHeight="1" x14ac:dyDescent="0.2">
      <c r="A19" s="11">
        <v>17</v>
      </c>
      <c r="B19" s="11" t="s">
        <v>34</v>
      </c>
      <c r="C19" s="11" t="s">
        <v>29</v>
      </c>
      <c r="D19" s="21" t="s">
        <v>109</v>
      </c>
      <c r="E19" s="21" t="s">
        <v>165</v>
      </c>
      <c r="F19" s="21" t="s">
        <v>192</v>
      </c>
      <c r="G19" s="21" t="s">
        <v>650</v>
      </c>
      <c r="H19" s="44" t="s">
        <v>205</v>
      </c>
      <c r="I19" s="25" t="s">
        <v>226</v>
      </c>
      <c r="J19" s="21" t="s">
        <v>165</v>
      </c>
      <c r="K19" s="21" t="s">
        <v>192</v>
      </c>
      <c r="L19" s="44" t="s">
        <v>650</v>
      </c>
      <c r="M19" s="25" t="s">
        <v>553</v>
      </c>
      <c r="N19" s="12">
        <v>1</v>
      </c>
      <c r="O19" s="12">
        <v>1</v>
      </c>
      <c r="P19" s="12">
        <v>3</v>
      </c>
      <c r="Q19" s="25" t="s">
        <v>291</v>
      </c>
      <c r="R19" s="21" t="s">
        <v>345</v>
      </c>
      <c r="S19" s="21" t="s">
        <v>192</v>
      </c>
      <c r="T19" s="21" t="s">
        <v>650</v>
      </c>
      <c r="U19" s="25" t="s">
        <v>583</v>
      </c>
      <c r="V19" s="12">
        <v>1</v>
      </c>
      <c r="W19" s="12">
        <v>1</v>
      </c>
      <c r="X19" s="12">
        <v>3</v>
      </c>
      <c r="Y19" s="25" t="s">
        <v>114</v>
      </c>
      <c r="Z19" s="21" t="s">
        <v>165</v>
      </c>
      <c r="AA19" s="21" t="s">
        <v>192</v>
      </c>
      <c r="AB19" s="21" t="s">
        <v>650</v>
      </c>
      <c r="AC19" s="25" t="s">
        <v>630</v>
      </c>
      <c r="AD19" s="12">
        <v>1</v>
      </c>
      <c r="AE19" s="12">
        <v>1</v>
      </c>
      <c r="AF19" s="12">
        <v>3</v>
      </c>
      <c r="AG19" s="21" t="s">
        <v>464</v>
      </c>
      <c r="AH19" s="25" t="s">
        <v>517</v>
      </c>
      <c r="AI19" s="21" t="s">
        <v>194</v>
      </c>
      <c r="AJ19" s="21" t="s">
        <v>650</v>
      </c>
      <c r="AK19" s="21" t="s">
        <v>643</v>
      </c>
      <c r="AL19" s="12">
        <v>1</v>
      </c>
      <c r="AM19" s="12">
        <v>1</v>
      </c>
      <c r="AN19" s="12">
        <v>3</v>
      </c>
    </row>
    <row r="20" spans="1:40" ht="15.75" customHeight="1" x14ac:dyDescent="0.2">
      <c r="A20" s="11">
        <v>18</v>
      </c>
      <c r="B20" s="11" t="s">
        <v>35</v>
      </c>
      <c r="C20" s="11" t="s">
        <v>29</v>
      </c>
      <c r="D20" s="21" t="s">
        <v>110</v>
      </c>
      <c r="E20" s="21" t="s">
        <v>166</v>
      </c>
      <c r="F20" s="21" t="s">
        <v>192</v>
      </c>
      <c r="G20" s="21" t="s">
        <v>650</v>
      </c>
      <c r="H20" s="44" t="s">
        <v>207</v>
      </c>
      <c r="I20" s="25" t="s">
        <v>227</v>
      </c>
      <c r="J20" s="21" t="s">
        <v>167</v>
      </c>
      <c r="K20" s="21" t="s">
        <v>192</v>
      </c>
      <c r="L20" s="44" t="s">
        <v>651</v>
      </c>
      <c r="M20" s="25" t="s">
        <v>550</v>
      </c>
      <c r="N20" s="12">
        <v>1</v>
      </c>
      <c r="O20" s="12">
        <v>1</v>
      </c>
      <c r="P20" s="12">
        <v>3</v>
      </c>
      <c r="Q20" s="25" t="s">
        <v>292</v>
      </c>
      <c r="R20" s="21" t="s">
        <v>346</v>
      </c>
      <c r="S20" s="21" t="s">
        <v>192</v>
      </c>
      <c r="T20" s="21" t="s">
        <v>650</v>
      </c>
      <c r="U20" s="25" t="s">
        <v>584</v>
      </c>
      <c r="V20" s="12">
        <v>1</v>
      </c>
      <c r="W20" s="12">
        <v>1</v>
      </c>
      <c r="X20" s="12">
        <v>3</v>
      </c>
      <c r="Y20" s="25" t="s">
        <v>389</v>
      </c>
      <c r="Z20" s="21" t="s">
        <v>411</v>
      </c>
      <c r="AA20" s="21" t="s">
        <v>192</v>
      </c>
      <c r="AB20" s="21" t="s">
        <v>650</v>
      </c>
      <c r="AC20" s="25" t="s">
        <v>440</v>
      </c>
      <c r="AD20" s="12">
        <v>1</v>
      </c>
      <c r="AE20" s="12">
        <v>1</v>
      </c>
      <c r="AF20" s="12">
        <v>3</v>
      </c>
      <c r="AG20" s="21" t="s">
        <v>465</v>
      </c>
      <c r="AH20" s="25" t="s">
        <v>518</v>
      </c>
      <c r="AI20" s="21" t="s">
        <v>192</v>
      </c>
      <c r="AJ20" s="21" t="s">
        <v>650</v>
      </c>
      <c r="AK20" s="21" t="s">
        <v>643</v>
      </c>
      <c r="AL20" s="12">
        <v>1</v>
      </c>
      <c r="AM20" s="12">
        <v>1</v>
      </c>
      <c r="AN20" s="12">
        <v>3</v>
      </c>
    </row>
    <row r="21" spans="1:40" ht="15.75" customHeight="1" x14ac:dyDescent="0.2">
      <c r="A21" s="11">
        <v>19</v>
      </c>
      <c r="B21" s="11" t="s">
        <v>36</v>
      </c>
      <c r="C21" s="11" t="s">
        <v>29</v>
      </c>
      <c r="D21" s="21" t="s">
        <v>111</v>
      </c>
      <c r="E21" s="21" t="s">
        <v>167</v>
      </c>
      <c r="F21" s="21" t="s">
        <v>192</v>
      </c>
      <c r="G21" s="21" t="s">
        <v>650</v>
      </c>
      <c r="H21" s="44" t="s">
        <v>205</v>
      </c>
      <c r="I21" s="25" t="s">
        <v>228</v>
      </c>
      <c r="J21" s="21" t="s">
        <v>253</v>
      </c>
      <c r="K21" s="21" t="s">
        <v>192</v>
      </c>
      <c r="L21" s="44" t="s">
        <v>650</v>
      </c>
      <c r="M21" s="25" t="s">
        <v>544</v>
      </c>
      <c r="N21" s="12">
        <v>1</v>
      </c>
      <c r="O21" s="12">
        <v>1</v>
      </c>
      <c r="P21" s="12">
        <v>3</v>
      </c>
      <c r="Q21" s="25" t="s">
        <v>111</v>
      </c>
      <c r="R21" s="21" t="s">
        <v>347</v>
      </c>
      <c r="S21" s="21" t="s">
        <v>192</v>
      </c>
      <c r="T21" s="21" t="s">
        <v>650</v>
      </c>
      <c r="U21" s="25" t="s">
        <v>585</v>
      </c>
      <c r="V21" s="12">
        <v>1</v>
      </c>
      <c r="W21" s="12">
        <v>1</v>
      </c>
      <c r="X21" s="12">
        <v>3</v>
      </c>
      <c r="Y21" s="25" t="s">
        <v>390</v>
      </c>
      <c r="Z21" s="21" t="s">
        <v>167</v>
      </c>
      <c r="AA21" s="21" t="s">
        <v>192</v>
      </c>
      <c r="AB21" s="21" t="s">
        <v>650</v>
      </c>
      <c r="AC21" s="25" t="s">
        <v>630</v>
      </c>
      <c r="AD21" s="12">
        <v>1</v>
      </c>
      <c r="AE21" s="12">
        <v>1</v>
      </c>
      <c r="AF21" s="12">
        <v>3</v>
      </c>
      <c r="AG21" s="21" t="s">
        <v>466</v>
      </c>
      <c r="AH21" s="25" t="s">
        <v>519</v>
      </c>
      <c r="AI21" s="21" t="s">
        <v>192</v>
      </c>
      <c r="AJ21" s="21" t="s">
        <v>650</v>
      </c>
      <c r="AK21" s="21" t="s">
        <v>643</v>
      </c>
      <c r="AL21" s="12">
        <v>1</v>
      </c>
      <c r="AM21" s="12">
        <v>1</v>
      </c>
      <c r="AN21" s="12">
        <v>3</v>
      </c>
    </row>
    <row r="22" spans="1:40" ht="15.75" customHeight="1" x14ac:dyDescent="0.2">
      <c r="A22" s="11">
        <v>20</v>
      </c>
      <c r="B22" s="11" t="s">
        <v>37</v>
      </c>
      <c r="C22" s="11" t="s">
        <v>29</v>
      </c>
      <c r="D22" s="21" t="s">
        <v>112</v>
      </c>
      <c r="E22" s="21" t="s">
        <v>168</v>
      </c>
      <c r="F22" s="21" t="s">
        <v>194</v>
      </c>
      <c r="G22" s="21" t="s">
        <v>650</v>
      </c>
      <c r="H22" s="44" t="s">
        <v>199</v>
      </c>
      <c r="I22" s="25" t="s">
        <v>112</v>
      </c>
      <c r="J22" s="21" t="s">
        <v>254</v>
      </c>
      <c r="K22" s="21" t="s">
        <v>194</v>
      </c>
      <c r="L22" s="44" t="s">
        <v>650</v>
      </c>
      <c r="M22" s="25" t="s">
        <v>554</v>
      </c>
      <c r="N22" s="12">
        <v>1</v>
      </c>
      <c r="O22" s="12">
        <v>1</v>
      </c>
      <c r="P22" s="12">
        <v>3</v>
      </c>
      <c r="Q22" s="22" t="s">
        <v>293</v>
      </c>
      <c r="R22" s="21" t="s">
        <v>348</v>
      </c>
      <c r="S22" s="21" t="s">
        <v>193</v>
      </c>
      <c r="T22" s="21" t="s">
        <v>650</v>
      </c>
      <c r="U22" s="22" t="s">
        <v>586</v>
      </c>
      <c r="V22" s="12">
        <v>1</v>
      </c>
      <c r="W22" s="12">
        <v>1</v>
      </c>
      <c r="X22" s="12">
        <v>2</v>
      </c>
      <c r="Y22" s="25" t="s">
        <v>112</v>
      </c>
      <c r="Z22" s="21" t="s">
        <v>167</v>
      </c>
      <c r="AA22" s="21" t="s">
        <v>193</v>
      </c>
      <c r="AB22" s="21" t="s">
        <v>650</v>
      </c>
      <c r="AC22" s="25" t="s">
        <v>441</v>
      </c>
      <c r="AD22" s="12">
        <v>1</v>
      </c>
      <c r="AE22" s="12">
        <v>1</v>
      </c>
      <c r="AF22" s="12">
        <v>3</v>
      </c>
      <c r="AG22" s="21" t="s">
        <v>467</v>
      </c>
      <c r="AH22" s="25" t="s">
        <v>520</v>
      </c>
      <c r="AI22" s="24" t="s">
        <v>192</v>
      </c>
      <c r="AJ22" s="21" t="s">
        <v>650</v>
      </c>
      <c r="AK22" s="21" t="s">
        <v>655</v>
      </c>
      <c r="AL22" s="12">
        <v>1</v>
      </c>
      <c r="AM22" s="12">
        <v>1</v>
      </c>
      <c r="AN22" s="12">
        <v>2</v>
      </c>
    </row>
    <row r="23" spans="1:40" ht="15.75" customHeight="1" x14ac:dyDescent="0.2">
      <c r="A23" s="11">
        <v>21</v>
      </c>
      <c r="B23" s="11" t="s">
        <v>38</v>
      </c>
      <c r="C23" s="11" t="s">
        <v>29</v>
      </c>
      <c r="D23" s="21" t="s">
        <v>113</v>
      </c>
      <c r="E23" s="21" t="s">
        <v>169</v>
      </c>
      <c r="F23" s="21" t="s">
        <v>192</v>
      </c>
      <c r="G23" s="21" t="s">
        <v>651</v>
      </c>
      <c r="H23" s="44" t="s">
        <v>205</v>
      </c>
      <c r="I23" s="25" t="s">
        <v>229</v>
      </c>
      <c r="J23" s="21" t="s">
        <v>169</v>
      </c>
      <c r="K23" s="21" t="s">
        <v>192</v>
      </c>
      <c r="L23" s="44" t="s">
        <v>651</v>
      </c>
      <c r="M23" s="25" t="s">
        <v>550</v>
      </c>
      <c r="N23" s="12">
        <v>1</v>
      </c>
      <c r="O23" s="12">
        <v>1</v>
      </c>
      <c r="P23" s="12">
        <v>3</v>
      </c>
      <c r="Q23" s="25" t="s">
        <v>294</v>
      </c>
      <c r="R23" s="21" t="s">
        <v>349</v>
      </c>
      <c r="S23" s="21" t="s">
        <v>192</v>
      </c>
      <c r="T23" s="21" t="s">
        <v>650</v>
      </c>
      <c r="U23" s="25" t="s">
        <v>587</v>
      </c>
      <c r="V23" s="12">
        <v>1</v>
      </c>
      <c r="W23" s="12">
        <v>1</v>
      </c>
      <c r="X23" s="12">
        <v>3</v>
      </c>
      <c r="Y23" s="25" t="s">
        <v>391</v>
      </c>
      <c r="Z23" s="21" t="s">
        <v>412</v>
      </c>
      <c r="AA23" s="21" t="s">
        <v>192</v>
      </c>
      <c r="AB23" s="21" t="s">
        <v>650</v>
      </c>
      <c r="AC23" s="25" t="s">
        <v>633</v>
      </c>
      <c r="AD23" s="12">
        <v>1</v>
      </c>
      <c r="AE23" s="12">
        <v>1</v>
      </c>
      <c r="AF23" s="12">
        <v>3</v>
      </c>
      <c r="AG23" s="21" t="s">
        <v>468</v>
      </c>
      <c r="AH23" s="25" t="s">
        <v>521</v>
      </c>
      <c r="AI23" s="21" t="s">
        <v>192</v>
      </c>
      <c r="AJ23" s="21" t="s">
        <v>651</v>
      </c>
      <c r="AK23" s="21" t="s">
        <v>643</v>
      </c>
      <c r="AL23" s="12">
        <v>1</v>
      </c>
      <c r="AM23" s="12">
        <v>1</v>
      </c>
      <c r="AN23" s="12">
        <v>3</v>
      </c>
    </row>
    <row r="24" spans="1:40" ht="15.75" customHeight="1" x14ac:dyDescent="0.2">
      <c r="A24" s="11">
        <v>22</v>
      </c>
      <c r="B24" s="11" t="s">
        <v>39</v>
      </c>
      <c r="C24" s="11" t="s">
        <v>29</v>
      </c>
      <c r="D24" s="21" t="s">
        <v>114</v>
      </c>
      <c r="E24" s="21" t="s">
        <v>163</v>
      </c>
      <c r="F24" s="21" t="s">
        <v>192</v>
      </c>
      <c r="G24" s="21" t="s">
        <v>650</v>
      </c>
      <c r="H24" s="44" t="s">
        <v>207</v>
      </c>
      <c r="I24" s="25" t="s">
        <v>230</v>
      </c>
      <c r="J24" s="21" t="s">
        <v>163</v>
      </c>
      <c r="K24" s="21" t="s">
        <v>194</v>
      </c>
      <c r="L24" s="44" t="s">
        <v>650</v>
      </c>
      <c r="M24" s="25" t="s">
        <v>555</v>
      </c>
      <c r="N24" s="12">
        <v>1</v>
      </c>
      <c r="O24" s="12">
        <v>1</v>
      </c>
      <c r="P24" s="12">
        <v>3</v>
      </c>
      <c r="Q24" s="25" t="s">
        <v>295</v>
      </c>
      <c r="R24" s="21" t="s">
        <v>350</v>
      </c>
      <c r="S24" s="21" t="s">
        <v>192</v>
      </c>
      <c r="T24" s="21" t="s">
        <v>650</v>
      </c>
      <c r="U24" s="25" t="s">
        <v>588</v>
      </c>
      <c r="V24" s="12">
        <v>1</v>
      </c>
      <c r="W24" s="12">
        <v>1</v>
      </c>
      <c r="X24" s="12">
        <v>3</v>
      </c>
      <c r="Y24" s="25" t="s">
        <v>230</v>
      </c>
      <c r="Z24" s="21" t="s">
        <v>413</v>
      </c>
      <c r="AA24" s="21" t="s">
        <v>194</v>
      </c>
      <c r="AB24" s="21" t="s">
        <v>650</v>
      </c>
      <c r="AC24" s="25" t="s">
        <v>446</v>
      </c>
      <c r="AD24" s="12">
        <v>1</v>
      </c>
      <c r="AE24" s="12">
        <v>1</v>
      </c>
      <c r="AF24" s="12">
        <v>3</v>
      </c>
      <c r="AG24" s="21" t="s">
        <v>469</v>
      </c>
      <c r="AH24" s="24" t="s">
        <v>522</v>
      </c>
      <c r="AI24" s="21" t="s">
        <v>194</v>
      </c>
      <c r="AJ24" s="21" t="s">
        <v>650</v>
      </c>
      <c r="AK24" s="21" t="s">
        <v>646</v>
      </c>
      <c r="AL24" s="12">
        <v>1</v>
      </c>
      <c r="AM24" s="12">
        <v>0</v>
      </c>
      <c r="AN24" s="12">
        <v>3</v>
      </c>
    </row>
    <row r="25" spans="1:40" ht="15.75" customHeight="1" x14ac:dyDescent="0.2">
      <c r="A25" s="26">
        <v>23</v>
      </c>
      <c r="B25" s="11" t="s">
        <v>40</v>
      </c>
      <c r="C25" s="11" t="s">
        <v>29</v>
      </c>
      <c r="D25" s="23" t="s">
        <v>115</v>
      </c>
      <c r="E25" s="21" t="s">
        <v>170</v>
      </c>
      <c r="F25" s="21" t="s">
        <v>193</v>
      </c>
      <c r="G25" s="21" t="s">
        <v>650</v>
      </c>
      <c r="H25" s="44" t="s">
        <v>202</v>
      </c>
      <c r="I25" s="25" t="s">
        <v>115</v>
      </c>
      <c r="J25" s="21" t="s">
        <v>255</v>
      </c>
      <c r="K25" s="21" t="s">
        <v>193</v>
      </c>
      <c r="L25" s="44" t="s">
        <v>651</v>
      </c>
      <c r="M25" s="25" t="s">
        <v>556</v>
      </c>
      <c r="N25" s="12">
        <v>1</v>
      </c>
      <c r="O25" s="12">
        <v>1</v>
      </c>
      <c r="P25" s="12">
        <v>3</v>
      </c>
      <c r="Q25" s="25" t="s">
        <v>296</v>
      </c>
      <c r="R25" s="21" t="s">
        <v>351</v>
      </c>
      <c r="S25" s="21" t="s">
        <v>193</v>
      </c>
      <c r="T25" s="21" t="s">
        <v>650</v>
      </c>
      <c r="U25" s="25" t="s">
        <v>589</v>
      </c>
      <c r="V25" s="12">
        <v>1</v>
      </c>
      <c r="W25" s="12">
        <v>1</v>
      </c>
      <c r="X25" s="12">
        <v>3</v>
      </c>
      <c r="Y25" s="25" t="s">
        <v>392</v>
      </c>
      <c r="Z25" s="21" t="s">
        <v>414</v>
      </c>
      <c r="AA25" s="21" t="s">
        <v>193</v>
      </c>
      <c r="AB25" s="21" t="s">
        <v>651</v>
      </c>
      <c r="AC25" s="25" t="s">
        <v>634</v>
      </c>
      <c r="AD25" s="12">
        <v>1</v>
      </c>
      <c r="AE25" s="12">
        <v>1</v>
      </c>
      <c r="AF25" s="12">
        <v>3</v>
      </c>
      <c r="AG25" s="21" t="s">
        <v>470</v>
      </c>
      <c r="AH25" s="25" t="s">
        <v>523</v>
      </c>
      <c r="AI25" s="24" t="s">
        <v>192</v>
      </c>
      <c r="AJ25" s="21" t="s">
        <v>650</v>
      </c>
      <c r="AK25" s="21" t="s">
        <v>646</v>
      </c>
      <c r="AL25" s="12">
        <v>1</v>
      </c>
      <c r="AM25" s="12">
        <v>1</v>
      </c>
      <c r="AN25" s="12">
        <v>2</v>
      </c>
    </row>
    <row r="26" spans="1:40" ht="15.75" customHeight="1" x14ac:dyDescent="0.2">
      <c r="A26" s="43">
        <v>24</v>
      </c>
      <c r="B26" s="11" t="s">
        <v>41</v>
      </c>
      <c r="C26" s="11" t="s">
        <v>42</v>
      </c>
      <c r="D26" s="44" t="s">
        <v>116</v>
      </c>
      <c r="E26" s="21" t="s">
        <v>171</v>
      </c>
      <c r="F26" s="21" t="s">
        <v>192</v>
      </c>
      <c r="G26" s="21" t="s">
        <v>650</v>
      </c>
      <c r="H26" s="44" t="s">
        <v>202</v>
      </c>
      <c r="I26" s="25" t="s">
        <v>116</v>
      </c>
      <c r="J26" s="21" t="s">
        <v>256</v>
      </c>
      <c r="K26" s="21" t="s">
        <v>192</v>
      </c>
      <c r="L26" s="21" t="s">
        <v>650</v>
      </c>
      <c r="M26" s="25" t="s">
        <v>546</v>
      </c>
      <c r="N26" s="12">
        <v>1</v>
      </c>
      <c r="O26" s="12">
        <v>1</v>
      </c>
      <c r="P26" s="12">
        <v>3</v>
      </c>
      <c r="Q26" s="25" t="s">
        <v>297</v>
      </c>
      <c r="R26" s="21" t="s">
        <v>352</v>
      </c>
      <c r="S26" s="21" t="s">
        <v>192</v>
      </c>
      <c r="T26" s="21" t="s">
        <v>650</v>
      </c>
      <c r="U26" s="27" t="s">
        <v>590</v>
      </c>
      <c r="V26" s="12">
        <v>1</v>
      </c>
      <c r="W26" s="12">
        <v>1</v>
      </c>
      <c r="X26" s="12">
        <v>3</v>
      </c>
      <c r="Y26" s="25" t="s">
        <v>393</v>
      </c>
      <c r="Z26" s="21" t="s">
        <v>415</v>
      </c>
      <c r="AA26" s="21" t="s">
        <v>192</v>
      </c>
      <c r="AB26" s="21" t="s">
        <v>650</v>
      </c>
      <c r="AC26" s="25" t="s">
        <v>630</v>
      </c>
      <c r="AD26" s="12">
        <v>1</v>
      </c>
      <c r="AE26" s="12">
        <v>1</v>
      </c>
      <c r="AF26" s="12">
        <v>3</v>
      </c>
      <c r="AG26" s="32" t="s">
        <v>471</v>
      </c>
      <c r="AH26" s="24" t="s">
        <v>656</v>
      </c>
      <c r="AI26" s="21" t="s">
        <v>194</v>
      </c>
      <c r="AJ26" s="21" t="s">
        <v>650</v>
      </c>
      <c r="AK26" s="21" t="s">
        <v>646</v>
      </c>
      <c r="AL26" s="12">
        <v>1</v>
      </c>
      <c r="AM26" s="12">
        <v>0</v>
      </c>
      <c r="AN26" s="12">
        <v>2</v>
      </c>
    </row>
    <row r="27" spans="1:40" ht="15.75" customHeight="1" x14ac:dyDescent="0.2">
      <c r="A27" s="11">
        <v>25</v>
      </c>
      <c r="B27" s="11" t="s">
        <v>43</v>
      </c>
      <c r="C27" s="11" t="s">
        <v>42</v>
      </c>
      <c r="D27" s="21" t="s">
        <v>117</v>
      </c>
      <c r="E27" s="21" t="s">
        <v>172</v>
      </c>
      <c r="F27" s="21" t="s">
        <v>195</v>
      </c>
      <c r="G27" s="21" t="s">
        <v>650</v>
      </c>
      <c r="H27" s="21" t="s">
        <v>202</v>
      </c>
      <c r="I27" s="25" t="s">
        <v>231</v>
      </c>
      <c r="J27" s="21" t="s">
        <v>172</v>
      </c>
      <c r="K27" s="21" t="s">
        <v>194</v>
      </c>
      <c r="L27" s="21" t="s">
        <v>650</v>
      </c>
      <c r="M27" s="25" t="s">
        <v>544</v>
      </c>
      <c r="N27" s="12">
        <v>1</v>
      </c>
      <c r="O27" s="12">
        <v>1</v>
      </c>
      <c r="P27" s="12">
        <v>3</v>
      </c>
      <c r="Q27" s="25" t="s">
        <v>298</v>
      </c>
      <c r="R27" s="21" t="s">
        <v>353</v>
      </c>
      <c r="S27" s="21" t="s">
        <v>192</v>
      </c>
      <c r="T27" s="21" t="s">
        <v>650</v>
      </c>
      <c r="U27" s="27" t="s">
        <v>591</v>
      </c>
      <c r="V27" s="12">
        <v>1</v>
      </c>
      <c r="W27" s="12">
        <v>1</v>
      </c>
      <c r="X27" s="12">
        <v>3</v>
      </c>
      <c r="Y27" s="25" t="s">
        <v>635</v>
      </c>
      <c r="Z27" s="21" t="s">
        <v>171</v>
      </c>
      <c r="AA27" s="21" t="s">
        <v>192</v>
      </c>
      <c r="AB27" s="21" t="s">
        <v>650</v>
      </c>
      <c r="AC27" s="25" t="s">
        <v>446</v>
      </c>
      <c r="AD27" s="12">
        <v>1</v>
      </c>
      <c r="AE27" s="12">
        <v>1</v>
      </c>
      <c r="AF27" s="12">
        <v>3</v>
      </c>
      <c r="AG27" s="21" t="s">
        <v>472</v>
      </c>
      <c r="AH27" s="24" t="s">
        <v>524</v>
      </c>
      <c r="AI27" s="21" t="s">
        <v>192</v>
      </c>
      <c r="AJ27" s="21" t="s">
        <v>650</v>
      </c>
      <c r="AK27" s="21" t="s">
        <v>643</v>
      </c>
      <c r="AL27" s="12">
        <v>1</v>
      </c>
      <c r="AM27" s="12">
        <v>0</v>
      </c>
      <c r="AN27" s="12">
        <v>2</v>
      </c>
    </row>
    <row r="28" spans="1:40" ht="15.75" customHeight="1" x14ac:dyDescent="0.2">
      <c r="A28" s="11">
        <v>26</v>
      </c>
      <c r="B28" s="11" t="s">
        <v>44</v>
      </c>
      <c r="C28" s="11" t="s">
        <v>42</v>
      </c>
      <c r="D28" s="21" t="s">
        <v>118</v>
      </c>
      <c r="E28" s="21" t="s">
        <v>172</v>
      </c>
      <c r="F28" s="21" t="s">
        <v>193</v>
      </c>
      <c r="G28" s="21" t="s">
        <v>650</v>
      </c>
      <c r="H28" s="21" t="s">
        <v>209</v>
      </c>
      <c r="I28" s="22" t="s">
        <v>118</v>
      </c>
      <c r="J28" s="21" t="s">
        <v>257</v>
      </c>
      <c r="K28" s="21" t="s">
        <v>194</v>
      </c>
      <c r="L28" s="21" t="s">
        <v>650</v>
      </c>
      <c r="M28" s="22" t="s">
        <v>548</v>
      </c>
      <c r="N28" s="12">
        <v>1</v>
      </c>
      <c r="O28" s="12">
        <v>1</v>
      </c>
      <c r="P28" s="12">
        <v>2</v>
      </c>
      <c r="Q28" s="25" t="s">
        <v>299</v>
      </c>
      <c r="R28" s="21" t="s">
        <v>354</v>
      </c>
      <c r="S28" s="21" t="s">
        <v>194</v>
      </c>
      <c r="T28" s="21" t="s">
        <v>650</v>
      </c>
      <c r="U28" s="27" t="s">
        <v>592</v>
      </c>
      <c r="V28" s="12">
        <v>1</v>
      </c>
      <c r="W28" s="12">
        <v>1</v>
      </c>
      <c r="X28" s="12">
        <v>3</v>
      </c>
      <c r="Y28" s="25" t="s">
        <v>118</v>
      </c>
      <c r="Z28" s="21" t="s">
        <v>416</v>
      </c>
      <c r="AA28" s="21" t="s">
        <v>194</v>
      </c>
      <c r="AB28" s="21" t="s">
        <v>650</v>
      </c>
      <c r="AC28" s="25" t="s">
        <v>636</v>
      </c>
      <c r="AD28" s="12">
        <v>1</v>
      </c>
      <c r="AE28" s="12">
        <v>1</v>
      </c>
      <c r="AF28" s="12">
        <v>3</v>
      </c>
      <c r="AG28" s="32" t="s">
        <v>473</v>
      </c>
      <c r="AH28" s="24" t="s">
        <v>657</v>
      </c>
      <c r="AI28" s="21" t="s">
        <v>192</v>
      </c>
      <c r="AJ28" s="21" t="s">
        <v>651</v>
      </c>
      <c r="AK28" s="21" t="s">
        <v>643</v>
      </c>
      <c r="AL28" s="12">
        <v>1</v>
      </c>
      <c r="AM28" s="12">
        <v>0</v>
      </c>
      <c r="AN28" s="12">
        <v>1</v>
      </c>
    </row>
    <row r="29" spans="1:40" ht="15.75" customHeight="1" x14ac:dyDescent="0.2">
      <c r="A29" s="11">
        <v>27</v>
      </c>
      <c r="B29" s="11" t="s">
        <v>45</v>
      </c>
      <c r="C29" s="11" t="s">
        <v>42</v>
      </c>
      <c r="D29" s="21" t="s">
        <v>119</v>
      </c>
      <c r="E29" s="21" t="s">
        <v>173</v>
      </c>
      <c r="F29" s="21" t="s">
        <v>195</v>
      </c>
      <c r="G29" s="21" t="s">
        <v>650</v>
      </c>
      <c r="H29" s="21" t="s">
        <v>205</v>
      </c>
      <c r="I29" s="27" t="s">
        <v>232</v>
      </c>
      <c r="J29" s="21" t="s">
        <v>258</v>
      </c>
      <c r="K29" s="21" t="s">
        <v>194</v>
      </c>
      <c r="L29" s="21" t="s">
        <v>650</v>
      </c>
      <c r="M29" s="25" t="s">
        <v>546</v>
      </c>
      <c r="N29" s="12">
        <v>1</v>
      </c>
      <c r="O29" s="12">
        <v>1</v>
      </c>
      <c r="P29" s="12">
        <v>3</v>
      </c>
      <c r="Q29" s="25" t="s">
        <v>300</v>
      </c>
      <c r="R29" s="21" t="s">
        <v>355</v>
      </c>
      <c r="S29" s="21" t="s">
        <v>192</v>
      </c>
      <c r="T29" s="21" t="s">
        <v>650</v>
      </c>
      <c r="U29" s="27" t="s">
        <v>593</v>
      </c>
      <c r="V29" s="12">
        <v>1</v>
      </c>
      <c r="W29" s="12">
        <v>1</v>
      </c>
      <c r="X29" s="12">
        <v>3</v>
      </c>
      <c r="Y29" s="25" t="s">
        <v>119</v>
      </c>
      <c r="Z29" s="21" t="s">
        <v>416</v>
      </c>
      <c r="AA29" s="21" t="s">
        <v>192</v>
      </c>
      <c r="AB29" s="21" t="s">
        <v>650</v>
      </c>
      <c r="AC29" s="25" t="s">
        <v>630</v>
      </c>
      <c r="AD29" s="12">
        <v>1</v>
      </c>
      <c r="AE29" s="12">
        <v>1</v>
      </c>
      <c r="AF29" s="12">
        <v>3</v>
      </c>
      <c r="AG29" s="28" t="s">
        <v>474</v>
      </c>
      <c r="AH29" s="24" t="s">
        <v>525</v>
      </c>
      <c r="AI29" s="21" t="s">
        <v>194</v>
      </c>
      <c r="AJ29" s="21" t="s">
        <v>650</v>
      </c>
      <c r="AK29" s="21" t="s">
        <v>646</v>
      </c>
      <c r="AL29" s="12">
        <v>1</v>
      </c>
      <c r="AM29" s="12">
        <v>0</v>
      </c>
      <c r="AN29" s="12">
        <v>3</v>
      </c>
    </row>
    <row r="30" spans="1:40" ht="15.75" customHeight="1" x14ac:dyDescent="0.2">
      <c r="A30" s="11">
        <v>28</v>
      </c>
      <c r="B30" s="11" t="s">
        <v>46</v>
      </c>
      <c r="C30" s="11" t="s">
        <v>42</v>
      </c>
      <c r="D30" s="21" t="s">
        <v>120</v>
      </c>
      <c r="E30" s="21" t="s">
        <v>174</v>
      </c>
      <c r="F30" s="21" t="s">
        <v>192</v>
      </c>
      <c r="G30" s="21" t="s">
        <v>650</v>
      </c>
      <c r="H30" s="21" t="s">
        <v>207</v>
      </c>
      <c r="I30" s="27" t="s">
        <v>120</v>
      </c>
      <c r="J30" s="21" t="s">
        <v>259</v>
      </c>
      <c r="K30" s="21" t="s">
        <v>192</v>
      </c>
      <c r="L30" s="44" t="s">
        <v>651</v>
      </c>
      <c r="M30" s="25" t="s">
        <v>544</v>
      </c>
      <c r="N30" s="12">
        <v>1</v>
      </c>
      <c r="O30" s="12">
        <v>1</v>
      </c>
      <c r="P30" s="12">
        <v>3</v>
      </c>
      <c r="Q30" s="25" t="s">
        <v>301</v>
      </c>
      <c r="R30" s="21" t="s">
        <v>356</v>
      </c>
      <c r="S30" s="21" t="s">
        <v>192</v>
      </c>
      <c r="T30" s="21" t="s">
        <v>651</v>
      </c>
      <c r="U30" s="27" t="s">
        <v>594</v>
      </c>
      <c r="V30" s="12">
        <v>1</v>
      </c>
      <c r="W30" s="12">
        <v>1</v>
      </c>
      <c r="X30" s="12">
        <v>3</v>
      </c>
      <c r="Y30" s="25" t="s">
        <v>120</v>
      </c>
      <c r="Z30" s="21" t="s">
        <v>417</v>
      </c>
      <c r="AA30" s="21" t="s">
        <v>192</v>
      </c>
      <c r="AB30" s="21" t="s">
        <v>651</v>
      </c>
      <c r="AC30" s="25" t="s">
        <v>630</v>
      </c>
      <c r="AD30" s="12">
        <v>1</v>
      </c>
      <c r="AE30" s="12">
        <v>1</v>
      </c>
      <c r="AF30" s="12">
        <v>3</v>
      </c>
      <c r="AG30" s="28" t="s">
        <v>475</v>
      </c>
      <c r="AH30" s="24" t="s">
        <v>516</v>
      </c>
      <c r="AI30" s="21" t="s">
        <v>192</v>
      </c>
      <c r="AJ30" s="21" t="s">
        <v>650</v>
      </c>
      <c r="AK30" s="21" t="s">
        <v>643</v>
      </c>
      <c r="AL30" s="12">
        <v>1</v>
      </c>
      <c r="AM30" s="12">
        <v>0</v>
      </c>
      <c r="AN30" s="12">
        <v>3</v>
      </c>
    </row>
    <row r="31" spans="1:40" ht="15.75" customHeight="1" x14ac:dyDescent="0.2">
      <c r="A31" s="11">
        <v>29</v>
      </c>
      <c r="B31" s="11" t="s">
        <v>47</v>
      </c>
      <c r="C31" s="11" t="s">
        <v>42</v>
      </c>
      <c r="D31" s="21" t="s">
        <v>121</v>
      </c>
      <c r="E31" s="21" t="s">
        <v>175</v>
      </c>
      <c r="F31" s="21" t="s">
        <v>192</v>
      </c>
      <c r="G31" s="21" t="s">
        <v>650</v>
      </c>
      <c r="H31" s="21" t="s">
        <v>205</v>
      </c>
      <c r="I31" s="27" t="s">
        <v>233</v>
      </c>
      <c r="J31" s="21" t="s">
        <v>260</v>
      </c>
      <c r="K31" s="21" t="s">
        <v>192</v>
      </c>
      <c r="L31" s="21" t="s">
        <v>651</v>
      </c>
      <c r="M31" s="25" t="s">
        <v>546</v>
      </c>
      <c r="N31" s="12">
        <v>1</v>
      </c>
      <c r="O31" s="12">
        <v>1</v>
      </c>
      <c r="P31" s="12">
        <v>3</v>
      </c>
      <c r="Q31" s="25" t="s">
        <v>302</v>
      </c>
      <c r="R31" s="21" t="s">
        <v>357</v>
      </c>
      <c r="S31" s="21" t="s">
        <v>192</v>
      </c>
      <c r="T31" s="21" t="s">
        <v>650</v>
      </c>
      <c r="U31" s="27" t="s">
        <v>595</v>
      </c>
      <c r="V31" s="12">
        <v>1</v>
      </c>
      <c r="W31" s="12">
        <v>1</v>
      </c>
      <c r="X31" s="12">
        <v>3</v>
      </c>
      <c r="Y31" s="25" t="s">
        <v>233</v>
      </c>
      <c r="Z31" s="21" t="s">
        <v>418</v>
      </c>
      <c r="AA31" s="21" t="s">
        <v>192</v>
      </c>
      <c r="AB31" s="21" t="s">
        <v>650</v>
      </c>
      <c r="AC31" s="25" t="s">
        <v>446</v>
      </c>
      <c r="AD31" s="12">
        <v>1</v>
      </c>
      <c r="AE31" s="12">
        <v>1</v>
      </c>
      <c r="AF31" s="12">
        <v>3</v>
      </c>
      <c r="AG31" s="28" t="s">
        <v>476</v>
      </c>
      <c r="AH31" s="24" t="s">
        <v>658</v>
      </c>
      <c r="AI31" s="21" t="s">
        <v>192</v>
      </c>
      <c r="AJ31" s="21" t="s">
        <v>651</v>
      </c>
      <c r="AK31" s="21" t="s">
        <v>643</v>
      </c>
      <c r="AL31" s="12">
        <v>1</v>
      </c>
      <c r="AM31" s="12">
        <v>0</v>
      </c>
      <c r="AN31" s="12">
        <v>3</v>
      </c>
    </row>
    <row r="32" spans="1:40" ht="15.75" customHeight="1" x14ac:dyDescent="0.2">
      <c r="A32" s="11">
        <v>30</v>
      </c>
      <c r="B32" s="11" t="s">
        <v>48</v>
      </c>
      <c r="C32" s="11" t="s">
        <v>42</v>
      </c>
      <c r="D32" s="21" t="s">
        <v>122</v>
      </c>
      <c r="E32" s="21" t="s">
        <v>176</v>
      </c>
      <c r="F32" s="21" t="s">
        <v>192</v>
      </c>
      <c r="G32" s="21" t="s">
        <v>650</v>
      </c>
      <c r="H32" s="21" t="s">
        <v>210</v>
      </c>
      <c r="I32" s="27" t="s">
        <v>234</v>
      </c>
      <c r="J32" s="21" t="s">
        <v>261</v>
      </c>
      <c r="K32" s="21" t="s">
        <v>192</v>
      </c>
      <c r="L32" s="21" t="s">
        <v>650</v>
      </c>
      <c r="M32" s="25" t="s">
        <v>546</v>
      </c>
      <c r="N32" s="12">
        <v>1</v>
      </c>
      <c r="O32" s="12">
        <v>1</v>
      </c>
      <c r="P32" s="12">
        <v>3</v>
      </c>
      <c r="Q32" s="25" t="s">
        <v>303</v>
      </c>
      <c r="R32" s="21" t="s">
        <v>358</v>
      </c>
      <c r="S32" s="21" t="s">
        <v>194</v>
      </c>
      <c r="T32" s="21" t="s">
        <v>650</v>
      </c>
      <c r="U32" s="27" t="s">
        <v>596</v>
      </c>
      <c r="V32" s="12">
        <v>1</v>
      </c>
      <c r="W32" s="12">
        <v>1</v>
      </c>
      <c r="X32" s="12">
        <v>3</v>
      </c>
      <c r="Y32" s="25" t="s">
        <v>394</v>
      </c>
      <c r="Z32" s="21" t="s">
        <v>176</v>
      </c>
      <c r="AA32" s="21" t="s">
        <v>192</v>
      </c>
      <c r="AB32" s="21" t="s">
        <v>650</v>
      </c>
      <c r="AC32" s="25" t="s">
        <v>630</v>
      </c>
      <c r="AD32" s="12">
        <v>1</v>
      </c>
      <c r="AE32" s="12">
        <v>1</v>
      </c>
      <c r="AF32" s="12">
        <v>3</v>
      </c>
      <c r="AG32" s="28" t="s">
        <v>477</v>
      </c>
      <c r="AH32" s="24" t="s">
        <v>524</v>
      </c>
      <c r="AI32" s="21" t="s">
        <v>192</v>
      </c>
      <c r="AJ32" s="21" t="s">
        <v>650</v>
      </c>
      <c r="AK32" s="21" t="s">
        <v>643</v>
      </c>
      <c r="AL32" s="12">
        <v>1</v>
      </c>
      <c r="AM32" s="12">
        <v>0</v>
      </c>
      <c r="AN32" s="12">
        <v>3</v>
      </c>
    </row>
    <row r="33" spans="1:40" ht="15.75" customHeight="1" x14ac:dyDescent="0.2">
      <c r="A33" s="11">
        <v>31</v>
      </c>
      <c r="B33" s="11" t="s">
        <v>49</v>
      </c>
      <c r="C33" s="11" t="s">
        <v>42</v>
      </c>
      <c r="D33" s="21" t="s">
        <v>123</v>
      </c>
      <c r="E33" s="21" t="s">
        <v>177</v>
      </c>
      <c r="F33" s="21" t="s">
        <v>192</v>
      </c>
      <c r="G33" s="21" t="s">
        <v>650</v>
      </c>
      <c r="H33" s="21" t="s">
        <v>207</v>
      </c>
      <c r="I33" s="27" t="s">
        <v>118</v>
      </c>
      <c r="J33" s="21" t="s">
        <v>262</v>
      </c>
      <c r="K33" s="21" t="s">
        <v>192</v>
      </c>
      <c r="L33" s="44" t="s">
        <v>650</v>
      </c>
      <c r="M33" s="25" t="s">
        <v>544</v>
      </c>
      <c r="N33" s="12">
        <v>1</v>
      </c>
      <c r="O33" s="12">
        <v>1</v>
      </c>
      <c r="P33" s="12">
        <v>3</v>
      </c>
      <c r="Q33" s="25" t="s">
        <v>304</v>
      </c>
      <c r="R33" s="21" t="s">
        <v>359</v>
      </c>
      <c r="S33" s="21" t="s">
        <v>192</v>
      </c>
      <c r="T33" s="21" t="s">
        <v>650</v>
      </c>
      <c r="U33" s="27" t="s">
        <v>597</v>
      </c>
      <c r="V33" s="12">
        <v>1</v>
      </c>
      <c r="W33" s="12">
        <v>1</v>
      </c>
      <c r="X33" s="12">
        <v>3</v>
      </c>
      <c r="Y33" s="25" t="s">
        <v>118</v>
      </c>
      <c r="Z33" s="21" t="s">
        <v>419</v>
      </c>
      <c r="AA33" s="21" t="s">
        <v>192</v>
      </c>
      <c r="AB33" s="21" t="s">
        <v>650</v>
      </c>
      <c r="AC33" s="25" t="s">
        <v>446</v>
      </c>
      <c r="AD33" s="12">
        <v>1</v>
      </c>
      <c r="AE33" s="12">
        <v>1</v>
      </c>
      <c r="AF33" s="12">
        <v>3</v>
      </c>
      <c r="AG33" s="28" t="s">
        <v>478</v>
      </c>
      <c r="AH33" s="24" t="s">
        <v>524</v>
      </c>
      <c r="AI33" s="21" t="s">
        <v>192</v>
      </c>
      <c r="AJ33" s="21" t="s">
        <v>650</v>
      </c>
      <c r="AK33" s="21" t="s">
        <v>655</v>
      </c>
      <c r="AL33" s="12">
        <v>1</v>
      </c>
      <c r="AM33" s="12">
        <v>0</v>
      </c>
      <c r="AN33" s="12">
        <v>2</v>
      </c>
    </row>
    <row r="34" spans="1:40" ht="15.75" customHeight="1" x14ac:dyDescent="0.2">
      <c r="A34" s="11">
        <v>32</v>
      </c>
      <c r="B34" s="11" t="s">
        <v>50</v>
      </c>
      <c r="C34" s="11" t="s">
        <v>42</v>
      </c>
      <c r="D34" s="21" t="s">
        <v>124</v>
      </c>
      <c r="E34" s="21" t="s">
        <v>172</v>
      </c>
      <c r="F34" s="21" t="s">
        <v>193</v>
      </c>
      <c r="G34" s="21" t="s">
        <v>651</v>
      </c>
      <c r="H34" s="21" t="s">
        <v>211</v>
      </c>
      <c r="I34" s="27" t="s">
        <v>116</v>
      </c>
      <c r="J34" s="21" t="s">
        <v>263</v>
      </c>
      <c r="K34" s="21" t="s">
        <v>193</v>
      </c>
      <c r="L34" s="44" t="s">
        <v>651</v>
      </c>
      <c r="M34" s="25" t="s">
        <v>557</v>
      </c>
      <c r="N34" s="12">
        <v>1</v>
      </c>
      <c r="O34" s="12">
        <v>1</v>
      </c>
      <c r="P34" s="12">
        <v>3</v>
      </c>
      <c r="Q34" s="25" t="s">
        <v>305</v>
      </c>
      <c r="R34" s="21" t="s">
        <v>360</v>
      </c>
      <c r="S34" s="21" t="s">
        <v>193</v>
      </c>
      <c r="T34" s="21" t="s">
        <v>650</v>
      </c>
      <c r="U34" s="27" t="s">
        <v>598</v>
      </c>
      <c r="V34" s="12">
        <v>1</v>
      </c>
      <c r="W34" s="12">
        <v>1</v>
      </c>
      <c r="X34" s="12">
        <v>3</v>
      </c>
      <c r="Y34" s="25" t="s">
        <v>395</v>
      </c>
      <c r="Z34" s="21" t="s">
        <v>420</v>
      </c>
      <c r="AA34" s="21" t="s">
        <v>193</v>
      </c>
      <c r="AB34" s="21" t="s">
        <v>650</v>
      </c>
      <c r="AC34" s="25" t="s">
        <v>443</v>
      </c>
      <c r="AD34" s="12">
        <v>1</v>
      </c>
      <c r="AE34" s="12">
        <v>1</v>
      </c>
      <c r="AF34" s="12">
        <v>3</v>
      </c>
      <c r="AG34" s="28" t="s">
        <v>479</v>
      </c>
      <c r="AH34" s="24" t="s">
        <v>526</v>
      </c>
      <c r="AI34" s="24" t="s">
        <v>192</v>
      </c>
      <c r="AJ34" s="21" t="s">
        <v>650</v>
      </c>
      <c r="AK34" s="21" t="s">
        <v>643</v>
      </c>
      <c r="AL34" s="12">
        <v>1</v>
      </c>
      <c r="AM34" s="12">
        <v>0</v>
      </c>
      <c r="AN34" s="12">
        <v>1</v>
      </c>
    </row>
    <row r="35" spans="1:40" ht="15.75" customHeight="1" x14ac:dyDescent="0.2">
      <c r="A35" s="26">
        <v>33</v>
      </c>
      <c r="B35" s="11" t="s">
        <v>51</v>
      </c>
      <c r="C35" s="11" t="s">
        <v>42</v>
      </c>
      <c r="D35" s="23" t="s">
        <v>125</v>
      </c>
      <c r="E35" s="21" t="s">
        <v>172</v>
      </c>
      <c r="F35" s="21" t="s">
        <v>193</v>
      </c>
      <c r="G35" s="21" t="s">
        <v>650</v>
      </c>
      <c r="H35" s="23" t="s">
        <v>212</v>
      </c>
      <c r="I35" s="25" t="s">
        <v>235</v>
      </c>
      <c r="J35" s="21" t="s">
        <v>260</v>
      </c>
      <c r="K35" s="21" t="s">
        <v>193</v>
      </c>
      <c r="L35" s="21" t="s">
        <v>651</v>
      </c>
      <c r="M35" s="25" t="s">
        <v>558</v>
      </c>
      <c r="N35" s="12">
        <v>1</v>
      </c>
      <c r="O35" s="12">
        <v>1</v>
      </c>
      <c r="P35" s="12">
        <v>3</v>
      </c>
      <c r="Q35" s="25" t="s">
        <v>306</v>
      </c>
      <c r="R35" s="21" t="s">
        <v>361</v>
      </c>
      <c r="S35" s="21" t="s">
        <v>193</v>
      </c>
      <c r="T35" s="21" t="s">
        <v>651</v>
      </c>
      <c r="U35" s="27" t="s">
        <v>599</v>
      </c>
      <c r="V35" s="12">
        <v>1</v>
      </c>
      <c r="W35" s="12">
        <v>1</v>
      </c>
      <c r="X35" s="12">
        <v>3</v>
      </c>
      <c r="Y35" s="25" t="s">
        <v>396</v>
      </c>
      <c r="Z35" s="21" t="s">
        <v>172</v>
      </c>
      <c r="AA35" s="21" t="s">
        <v>193</v>
      </c>
      <c r="AB35" s="21" t="s">
        <v>650</v>
      </c>
      <c r="AC35" s="25" t="s">
        <v>433</v>
      </c>
      <c r="AD35" s="12">
        <v>0</v>
      </c>
      <c r="AE35" s="12">
        <v>1</v>
      </c>
      <c r="AF35" s="12">
        <v>3</v>
      </c>
      <c r="AG35" s="28" t="s">
        <v>480</v>
      </c>
      <c r="AH35" s="24" t="s">
        <v>527</v>
      </c>
      <c r="AI35" s="24" t="s">
        <v>192</v>
      </c>
      <c r="AJ35" s="21" t="s">
        <v>650</v>
      </c>
      <c r="AK35" s="21" t="s">
        <v>646</v>
      </c>
      <c r="AL35" s="12">
        <v>1</v>
      </c>
      <c r="AM35" s="12">
        <v>0</v>
      </c>
      <c r="AN35" s="12">
        <v>1</v>
      </c>
    </row>
    <row r="36" spans="1:40" ht="15.75" customHeight="1" x14ac:dyDescent="0.2">
      <c r="A36" s="43">
        <v>34</v>
      </c>
      <c r="B36" s="11" t="s">
        <v>52</v>
      </c>
      <c r="C36" s="11" t="s">
        <v>53</v>
      </c>
      <c r="D36" s="44" t="s">
        <v>126</v>
      </c>
      <c r="E36" s="21" t="s">
        <v>178</v>
      </c>
      <c r="F36" s="21" t="s">
        <v>192</v>
      </c>
      <c r="G36" s="21" t="s">
        <v>651</v>
      </c>
      <c r="H36" s="44" t="s">
        <v>207</v>
      </c>
      <c r="I36" s="25" t="s">
        <v>236</v>
      </c>
      <c r="J36" s="21" t="s">
        <v>249</v>
      </c>
      <c r="K36" s="21" t="s">
        <v>192</v>
      </c>
      <c r="L36" s="44" t="s">
        <v>650</v>
      </c>
      <c r="M36" s="27" t="s">
        <v>544</v>
      </c>
      <c r="N36" s="12">
        <v>1</v>
      </c>
      <c r="O36" s="12">
        <v>1</v>
      </c>
      <c r="P36" s="12">
        <v>3</v>
      </c>
      <c r="Q36" s="27" t="s">
        <v>307</v>
      </c>
      <c r="R36" s="21" t="s">
        <v>362</v>
      </c>
      <c r="S36" s="21" t="s">
        <v>194</v>
      </c>
      <c r="T36" s="21" t="s">
        <v>650</v>
      </c>
      <c r="U36" s="27" t="s">
        <v>600</v>
      </c>
      <c r="V36" s="12">
        <v>1</v>
      </c>
      <c r="W36" s="12">
        <v>1</v>
      </c>
      <c r="X36" s="12">
        <v>3</v>
      </c>
      <c r="Y36" s="25" t="s">
        <v>236</v>
      </c>
      <c r="Z36" s="21" t="s">
        <v>421</v>
      </c>
      <c r="AA36" s="21" t="s">
        <v>192</v>
      </c>
      <c r="AB36" s="21" t="s">
        <v>650</v>
      </c>
      <c r="AC36" s="25" t="s">
        <v>446</v>
      </c>
      <c r="AD36" s="12">
        <v>1</v>
      </c>
      <c r="AE36" s="12">
        <v>1</v>
      </c>
      <c r="AF36" s="12">
        <v>3</v>
      </c>
      <c r="AG36" s="28" t="s">
        <v>481</v>
      </c>
      <c r="AH36" s="25" t="s">
        <v>528</v>
      </c>
      <c r="AI36" s="21" t="s">
        <v>192</v>
      </c>
      <c r="AJ36" s="21" t="s">
        <v>650</v>
      </c>
      <c r="AK36" s="21" t="s">
        <v>643</v>
      </c>
      <c r="AL36" s="12">
        <v>1</v>
      </c>
      <c r="AM36" s="12">
        <v>1</v>
      </c>
      <c r="AN36" s="12">
        <v>3</v>
      </c>
    </row>
    <row r="37" spans="1:40" ht="15.75" customHeight="1" x14ac:dyDescent="0.2">
      <c r="A37" s="11">
        <v>35</v>
      </c>
      <c r="B37" s="11" t="s">
        <v>54</v>
      </c>
      <c r="C37" s="11" t="s">
        <v>53</v>
      </c>
      <c r="D37" s="21" t="s">
        <v>127</v>
      </c>
      <c r="E37" s="21" t="s">
        <v>179</v>
      </c>
      <c r="F37" s="21" t="s">
        <v>193</v>
      </c>
      <c r="G37" s="21" t="s">
        <v>650</v>
      </c>
      <c r="H37" s="21" t="s">
        <v>202</v>
      </c>
      <c r="I37" s="25" t="s">
        <v>237</v>
      </c>
      <c r="J37" s="21" t="s">
        <v>165</v>
      </c>
      <c r="K37" s="21" t="s">
        <v>194</v>
      </c>
      <c r="L37" s="21" t="s">
        <v>650</v>
      </c>
      <c r="M37" s="27" t="s">
        <v>559</v>
      </c>
      <c r="N37" s="12">
        <v>1</v>
      </c>
      <c r="O37" s="12">
        <v>1</v>
      </c>
      <c r="P37" s="12">
        <v>3</v>
      </c>
      <c r="Q37" s="27" t="s">
        <v>237</v>
      </c>
      <c r="R37" s="21" t="s">
        <v>363</v>
      </c>
      <c r="S37" s="21" t="s">
        <v>193</v>
      </c>
      <c r="T37" s="21" t="s">
        <v>650</v>
      </c>
      <c r="U37" s="27" t="s">
        <v>601</v>
      </c>
      <c r="V37" s="12">
        <v>1</v>
      </c>
      <c r="W37" s="12">
        <v>1</v>
      </c>
      <c r="X37" s="12">
        <v>3</v>
      </c>
      <c r="Y37" s="25" t="s">
        <v>127</v>
      </c>
      <c r="Z37" s="21" t="s">
        <v>165</v>
      </c>
      <c r="AA37" s="21" t="s">
        <v>193</v>
      </c>
      <c r="AB37" s="21" t="s">
        <v>650</v>
      </c>
      <c r="AC37" s="25" t="s">
        <v>444</v>
      </c>
      <c r="AD37" s="12">
        <v>1</v>
      </c>
      <c r="AE37" s="12">
        <v>1</v>
      </c>
      <c r="AF37" s="12">
        <v>3</v>
      </c>
      <c r="AG37" s="28" t="s">
        <v>482</v>
      </c>
      <c r="AH37" s="25" t="s">
        <v>529</v>
      </c>
      <c r="AI37" s="24" t="s">
        <v>192</v>
      </c>
      <c r="AJ37" s="21" t="s">
        <v>650</v>
      </c>
      <c r="AK37" s="21" t="s">
        <v>643</v>
      </c>
      <c r="AL37" s="12">
        <v>1</v>
      </c>
      <c r="AM37" s="12">
        <v>1</v>
      </c>
      <c r="AN37" s="12">
        <v>1</v>
      </c>
    </row>
    <row r="38" spans="1:40" ht="15.75" customHeight="1" x14ac:dyDescent="0.2">
      <c r="A38" s="11">
        <v>36</v>
      </c>
      <c r="B38" s="11" t="s">
        <v>55</v>
      </c>
      <c r="C38" s="11" t="s">
        <v>53</v>
      </c>
      <c r="D38" s="21" t="s">
        <v>128</v>
      </c>
      <c r="E38" s="21" t="s">
        <v>136</v>
      </c>
      <c r="F38" s="21" t="s">
        <v>192</v>
      </c>
      <c r="G38" s="21" t="s">
        <v>651</v>
      </c>
      <c r="H38" s="21" t="s">
        <v>205</v>
      </c>
      <c r="I38" s="25" t="s">
        <v>238</v>
      </c>
      <c r="J38" s="21" t="s">
        <v>136</v>
      </c>
      <c r="K38" s="21" t="s">
        <v>192</v>
      </c>
      <c r="L38" s="21" t="s">
        <v>650</v>
      </c>
      <c r="M38" s="27" t="s">
        <v>549</v>
      </c>
      <c r="N38" s="12">
        <v>1</v>
      </c>
      <c r="O38" s="12">
        <v>1</v>
      </c>
      <c r="P38" s="12">
        <v>3</v>
      </c>
      <c r="Q38" s="27" t="s">
        <v>308</v>
      </c>
      <c r="R38" s="21" t="s">
        <v>364</v>
      </c>
      <c r="S38" s="21" t="s">
        <v>192</v>
      </c>
      <c r="T38" s="21" t="s">
        <v>651</v>
      </c>
      <c r="U38" s="27" t="s">
        <v>602</v>
      </c>
      <c r="V38" s="12">
        <v>1</v>
      </c>
      <c r="W38" s="12">
        <v>1</v>
      </c>
      <c r="X38" s="12">
        <v>3</v>
      </c>
      <c r="Y38" s="25" t="s">
        <v>397</v>
      </c>
      <c r="Z38" s="21" t="s">
        <v>136</v>
      </c>
      <c r="AA38" s="21" t="s">
        <v>192</v>
      </c>
      <c r="AB38" s="21" t="s">
        <v>650</v>
      </c>
      <c r="AC38" s="25" t="s">
        <v>446</v>
      </c>
      <c r="AD38" s="12">
        <v>1</v>
      </c>
      <c r="AE38" s="12">
        <v>1</v>
      </c>
      <c r="AF38" s="12">
        <v>3</v>
      </c>
      <c r="AG38" s="28" t="s">
        <v>483</v>
      </c>
      <c r="AH38" s="24" t="s">
        <v>530</v>
      </c>
      <c r="AI38" s="21" t="s">
        <v>192</v>
      </c>
      <c r="AJ38" s="24" t="s">
        <v>650</v>
      </c>
      <c r="AK38" s="21" t="s">
        <v>643</v>
      </c>
      <c r="AL38" s="12">
        <v>1</v>
      </c>
      <c r="AM38" s="12">
        <v>0</v>
      </c>
      <c r="AN38" s="12">
        <v>3</v>
      </c>
    </row>
    <row r="39" spans="1:40" ht="15.75" customHeight="1" x14ac:dyDescent="0.2">
      <c r="A39" s="11">
        <v>37</v>
      </c>
      <c r="B39" s="11" t="s">
        <v>56</v>
      </c>
      <c r="C39" s="11" t="s">
        <v>53</v>
      </c>
      <c r="D39" s="21" t="s">
        <v>129</v>
      </c>
      <c r="E39" s="21" t="s">
        <v>180</v>
      </c>
      <c r="F39" s="21" t="s">
        <v>196</v>
      </c>
      <c r="G39" s="21" t="s">
        <v>650</v>
      </c>
      <c r="H39" s="21" t="s">
        <v>213</v>
      </c>
      <c r="I39" s="22" t="s">
        <v>129</v>
      </c>
      <c r="J39" s="21" t="s">
        <v>264</v>
      </c>
      <c r="K39" s="21" t="s">
        <v>194</v>
      </c>
      <c r="L39" s="21" t="s">
        <v>650</v>
      </c>
      <c r="M39" s="22" t="s">
        <v>548</v>
      </c>
      <c r="N39" s="12">
        <v>1</v>
      </c>
      <c r="O39" s="12">
        <v>1</v>
      </c>
      <c r="P39" s="12">
        <v>2</v>
      </c>
      <c r="Q39" s="27" t="s">
        <v>309</v>
      </c>
      <c r="R39" s="21" t="s">
        <v>365</v>
      </c>
      <c r="S39" s="21" t="s">
        <v>194</v>
      </c>
      <c r="T39" s="21" t="s">
        <v>650</v>
      </c>
      <c r="U39" s="27" t="s">
        <v>603</v>
      </c>
      <c r="V39" s="12">
        <v>1</v>
      </c>
      <c r="W39" s="12">
        <v>1</v>
      </c>
      <c r="X39" s="12">
        <v>3</v>
      </c>
      <c r="Y39" s="25" t="s">
        <v>129</v>
      </c>
      <c r="Z39" s="21" t="s">
        <v>264</v>
      </c>
      <c r="AA39" s="21" t="s">
        <v>194</v>
      </c>
      <c r="AB39" s="21" t="s">
        <v>650</v>
      </c>
      <c r="AC39" s="29" t="s">
        <v>637</v>
      </c>
      <c r="AD39" s="12">
        <v>1</v>
      </c>
      <c r="AE39" s="12">
        <v>1</v>
      </c>
      <c r="AF39" s="12">
        <v>3</v>
      </c>
      <c r="AG39" s="28" t="s">
        <v>484</v>
      </c>
      <c r="AH39" s="25" t="s">
        <v>531</v>
      </c>
      <c r="AI39" s="21" t="s">
        <v>192</v>
      </c>
      <c r="AJ39" s="24" t="s">
        <v>650</v>
      </c>
      <c r="AK39" s="21" t="s">
        <v>643</v>
      </c>
      <c r="AL39" s="12">
        <v>1</v>
      </c>
      <c r="AM39" s="12">
        <v>1</v>
      </c>
      <c r="AN39" s="12">
        <v>1</v>
      </c>
    </row>
    <row r="40" spans="1:40" ht="15.75" customHeight="1" x14ac:dyDescent="0.2">
      <c r="A40" s="11">
        <v>38</v>
      </c>
      <c r="B40" s="11" t="s">
        <v>57</v>
      </c>
      <c r="C40" s="11" t="s">
        <v>53</v>
      </c>
      <c r="D40" s="21" t="s">
        <v>130</v>
      </c>
      <c r="E40" s="21" t="s">
        <v>169</v>
      </c>
      <c r="F40" s="21" t="s">
        <v>196</v>
      </c>
      <c r="G40" s="21" t="s">
        <v>651</v>
      </c>
      <c r="H40" s="21" t="s">
        <v>208</v>
      </c>
      <c r="I40" s="24" t="s">
        <v>130</v>
      </c>
      <c r="J40" s="21" t="s">
        <v>169</v>
      </c>
      <c r="K40" s="21" t="s">
        <v>194</v>
      </c>
      <c r="L40" s="21" t="s">
        <v>651</v>
      </c>
      <c r="M40" s="24" t="s">
        <v>548</v>
      </c>
      <c r="N40" s="12">
        <v>1</v>
      </c>
      <c r="O40" s="12">
        <v>1</v>
      </c>
      <c r="P40" s="12">
        <v>1</v>
      </c>
      <c r="Q40" s="24" t="s">
        <v>130</v>
      </c>
      <c r="R40" s="21" t="s">
        <v>366</v>
      </c>
      <c r="S40" s="21" t="s">
        <v>192</v>
      </c>
      <c r="T40" s="21" t="s">
        <v>651</v>
      </c>
      <c r="U40" s="24" t="s">
        <v>544</v>
      </c>
      <c r="V40" s="12">
        <v>1</v>
      </c>
      <c r="W40" s="12">
        <v>1</v>
      </c>
      <c r="X40" s="12">
        <v>1</v>
      </c>
      <c r="Y40" s="24" t="s">
        <v>130</v>
      </c>
      <c r="Z40" s="21" t="s">
        <v>422</v>
      </c>
      <c r="AA40" s="21" t="s">
        <v>194</v>
      </c>
      <c r="AB40" s="21" t="s">
        <v>651</v>
      </c>
      <c r="AC40" s="24" t="s">
        <v>446</v>
      </c>
      <c r="AD40" s="12">
        <v>1</v>
      </c>
      <c r="AE40" s="12">
        <v>1</v>
      </c>
      <c r="AF40" s="12">
        <v>1</v>
      </c>
      <c r="AG40" s="24" t="s">
        <v>485</v>
      </c>
      <c r="AH40" s="24" t="s">
        <v>532</v>
      </c>
      <c r="AI40" s="24" t="s">
        <v>194</v>
      </c>
      <c r="AJ40" s="24" t="s">
        <v>650</v>
      </c>
      <c r="AK40" s="24" t="s">
        <v>646</v>
      </c>
      <c r="AL40" s="12">
        <v>1</v>
      </c>
      <c r="AM40" s="12">
        <v>0</v>
      </c>
      <c r="AN40" s="12">
        <v>1</v>
      </c>
    </row>
    <row r="41" spans="1:40" ht="15.75" customHeight="1" x14ac:dyDescent="0.2">
      <c r="A41" s="11">
        <v>39</v>
      </c>
      <c r="B41" s="11" t="s">
        <v>58</v>
      </c>
      <c r="C41" s="11" t="s">
        <v>53</v>
      </c>
      <c r="D41" s="21" t="s">
        <v>131</v>
      </c>
      <c r="E41" s="21" t="s">
        <v>169</v>
      </c>
      <c r="F41" s="21" t="s">
        <v>196</v>
      </c>
      <c r="G41" s="21" t="s">
        <v>651</v>
      </c>
      <c r="H41" s="21" t="s">
        <v>208</v>
      </c>
      <c r="I41" s="24" t="s">
        <v>130</v>
      </c>
      <c r="J41" s="21" t="s">
        <v>169</v>
      </c>
      <c r="K41" s="21" t="s">
        <v>192</v>
      </c>
      <c r="L41" s="21" t="s">
        <v>651</v>
      </c>
      <c r="M41" s="24" t="s">
        <v>549</v>
      </c>
      <c r="N41" s="12">
        <v>1</v>
      </c>
      <c r="O41" s="12">
        <v>1</v>
      </c>
      <c r="P41" s="12">
        <v>1</v>
      </c>
      <c r="Q41" s="24" t="s">
        <v>310</v>
      </c>
      <c r="R41" s="21" t="s">
        <v>367</v>
      </c>
      <c r="S41" s="21" t="s">
        <v>192</v>
      </c>
      <c r="T41" s="21" t="s">
        <v>650</v>
      </c>
      <c r="U41" s="24" t="s">
        <v>604</v>
      </c>
      <c r="V41" s="12">
        <v>0</v>
      </c>
      <c r="W41" s="12">
        <v>0</v>
      </c>
      <c r="X41" s="12">
        <v>1</v>
      </c>
      <c r="Y41" s="24" t="s">
        <v>130</v>
      </c>
      <c r="Z41" s="21" t="s">
        <v>422</v>
      </c>
      <c r="AA41" s="21" t="s">
        <v>192</v>
      </c>
      <c r="AB41" s="21" t="s">
        <v>651</v>
      </c>
      <c r="AC41" s="24" t="s">
        <v>446</v>
      </c>
      <c r="AD41" s="12">
        <v>1</v>
      </c>
      <c r="AE41" s="12">
        <v>1</v>
      </c>
      <c r="AF41" s="12">
        <v>1</v>
      </c>
      <c r="AG41" s="33" t="s">
        <v>486</v>
      </c>
      <c r="AH41" s="24" t="s">
        <v>654</v>
      </c>
      <c r="AI41" s="21" t="s">
        <v>192</v>
      </c>
      <c r="AJ41" s="24" t="s">
        <v>650</v>
      </c>
      <c r="AK41" s="21" t="s">
        <v>655</v>
      </c>
      <c r="AL41" s="12">
        <v>1</v>
      </c>
      <c r="AM41" s="12">
        <v>0</v>
      </c>
      <c r="AN41" s="12">
        <v>1</v>
      </c>
    </row>
    <row r="42" spans="1:40" ht="15.75" customHeight="1" x14ac:dyDescent="0.2">
      <c r="A42" s="11">
        <v>40</v>
      </c>
      <c r="B42" s="11" t="s">
        <v>59</v>
      </c>
      <c r="C42" s="11" t="s">
        <v>53</v>
      </c>
      <c r="D42" s="21" t="s">
        <v>132</v>
      </c>
      <c r="E42" s="21" t="s">
        <v>152</v>
      </c>
      <c r="F42" s="21" t="s">
        <v>194</v>
      </c>
      <c r="G42" s="21" t="s">
        <v>650</v>
      </c>
      <c r="H42" s="21" t="s">
        <v>205</v>
      </c>
      <c r="I42" s="27" t="s">
        <v>132</v>
      </c>
      <c r="J42" s="21" t="s">
        <v>249</v>
      </c>
      <c r="K42" s="21" t="s">
        <v>194</v>
      </c>
      <c r="L42" s="21" t="s">
        <v>650</v>
      </c>
      <c r="M42" s="27" t="s">
        <v>560</v>
      </c>
      <c r="N42" s="12">
        <v>1</v>
      </c>
      <c r="O42" s="12">
        <v>1</v>
      </c>
      <c r="P42" s="12">
        <v>3</v>
      </c>
      <c r="Q42" s="22" t="s">
        <v>311</v>
      </c>
      <c r="R42" s="21" t="s">
        <v>368</v>
      </c>
      <c r="S42" s="21" t="s">
        <v>194</v>
      </c>
      <c r="T42" s="21" t="s">
        <v>650</v>
      </c>
      <c r="U42" s="22" t="s">
        <v>605</v>
      </c>
      <c r="V42" s="12">
        <v>1</v>
      </c>
      <c r="W42" s="12">
        <v>1</v>
      </c>
      <c r="X42" s="12">
        <v>2</v>
      </c>
      <c r="Y42" s="25" t="s">
        <v>398</v>
      </c>
      <c r="Z42" s="21" t="s">
        <v>247</v>
      </c>
      <c r="AA42" s="21" t="s">
        <v>194</v>
      </c>
      <c r="AB42" s="21" t="s">
        <v>650</v>
      </c>
      <c r="AC42" s="25" t="s">
        <v>638</v>
      </c>
      <c r="AD42" s="12">
        <v>1</v>
      </c>
      <c r="AE42" s="12">
        <v>1</v>
      </c>
      <c r="AF42" s="12">
        <v>3</v>
      </c>
      <c r="AG42" s="21" t="s">
        <v>487</v>
      </c>
      <c r="AH42" s="25" t="s">
        <v>535</v>
      </c>
      <c r="AI42" s="21" t="s">
        <v>192</v>
      </c>
      <c r="AJ42" s="21" t="s">
        <v>650</v>
      </c>
      <c r="AK42" s="21" t="s">
        <v>643</v>
      </c>
      <c r="AL42" s="12">
        <v>1</v>
      </c>
      <c r="AM42" s="12">
        <v>1</v>
      </c>
      <c r="AN42" s="12">
        <v>3</v>
      </c>
    </row>
    <row r="43" spans="1:40" ht="15.75" customHeight="1" x14ac:dyDescent="0.2">
      <c r="A43" s="11">
        <v>41</v>
      </c>
      <c r="B43" s="11" t="s">
        <v>60</v>
      </c>
      <c r="C43" s="11" t="s">
        <v>53</v>
      </c>
      <c r="D43" s="21" t="s">
        <v>133</v>
      </c>
      <c r="E43" s="21" t="s">
        <v>178</v>
      </c>
      <c r="F43" s="21" t="s">
        <v>192</v>
      </c>
      <c r="G43" s="21" t="s">
        <v>650</v>
      </c>
      <c r="H43" s="21" t="s">
        <v>207</v>
      </c>
      <c r="I43" s="27" t="s">
        <v>133</v>
      </c>
      <c r="J43" s="21" t="s">
        <v>249</v>
      </c>
      <c r="K43" s="21" t="s">
        <v>192</v>
      </c>
      <c r="L43" s="21" t="s">
        <v>650</v>
      </c>
      <c r="M43" s="27" t="s">
        <v>544</v>
      </c>
      <c r="N43" s="12">
        <v>1</v>
      </c>
      <c r="O43" s="12">
        <v>1</v>
      </c>
      <c r="P43" s="12">
        <v>3</v>
      </c>
      <c r="Q43" s="25" t="s">
        <v>312</v>
      </c>
      <c r="R43" s="21" t="s">
        <v>369</v>
      </c>
      <c r="S43" s="21" t="s">
        <v>192</v>
      </c>
      <c r="T43" s="21" t="s">
        <v>650</v>
      </c>
      <c r="U43" s="25" t="s">
        <v>606</v>
      </c>
      <c r="V43" s="12">
        <v>1</v>
      </c>
      <c r="W43" s="12">
        <v>1</v>
      </c>
      <c r="X43" s="12">
        <v>3</v>
      </c>
      <c r="Y43" s="22" t="s">
        <v>399</v>
      </c>
      <c r="Z43" s="21" t="s">
        <v>423</v>
      </c>
      <c r="AA43" s="21" t="s">
        <v>194</v>
      </c>
      <c r="AB43" s="21" t="s">
        <v>650</v>
      </c>
      <c r="AC43" s="22" t="s">
        <v>639</v>
      </c>
      <c r="AD43" s="12">
        <v>1</v>
      </c>
      <c r="AE43" s="12">
        <v>1</v>
      </c>
      <c r="AF43" s="12">
        <v>2</v>
      </c>
      <c r="AG43" s="24" t="s">
        <v>488</v>
      </c>
      <c r="AH43" s="24" t="s">
        <v>652</v>
      </c>
      <c r="AI43" s="21" t="s">
        <v>192</v>
      </c>
      <c r="AJ43" s="21" t="s">
        <v>650</v>
      </c>
      <c r="AK43" s="21" t="s">
        <v>643</v>
      </c>
      <c r="AL43" s="12">
        <v>0</v>
      </c>
      <c r="AM43" s="12">
        <v>0</v>
      </c>
      <c r="AN43" s="12">
        <v>3</v>
      </c>
    </row>
    <row r="44" spans="1:40" ht="15.75" customHeight="1" x14ac:dyDescent="0.2">
      <c r="A44" s="11">
        <v>42</v>
      </c>
      <c r="B44" s="11" t="s">
        <v>61</v>
      </c>
      <c r="C44" s="11" t="s">
        <v>53</v>
      </c>
      <c r="D44" s="21" t="s">
        <v>134</v>
      </c>
      <c r="E44" s="21" t="s">
        <v>163</v>
      </c>
      <c r="F44" s="21" t="s">
        <v>196</v>
      </c>
      <c r="G44" s="21" t="s">
        <v>650</v>
      </c>
      <c r="H44" s="21" t="s">
        <v>214</v>
      </c>
      <c r="I44" s="27" t="s">
        <v>239</v>
      </c>
      <c r="J44" s="21" t="s">
        <v>163</v>
      </c>
      <c r="K44" s="21" t="s">
        <v>193</v>
      </c>
      <c r="L44" s="21" t="s">
        <v>650</v>
      </c>
      <c r="M44" s="27" t="s">
        <v>561</v>
      </c>
      <c r="N44" s="12">
        <v>1</v>
      </c>
      <c r="O44" s="12">
        <v>1</v>
      </c>
      <c r="P44" s="12">
        <v>3</v>
      </c>
      <c r="Q44" s="25" t="s">
        <v>313</v>
      </c>
      <c r="R44" s="21" t="s">
        <v>370</v>
      </c>
      <c r="S44" s="21" t="s">
        <v>194</v>
      </c>
      <c r="T44" s="21" t="s">
        <v>650</v>
      </c>
      <c r="U44" s="25" t="s">
        <v>607</v>
      </c>
      <c r="V44" s="12">
        <v>1</v>
      </c>
      <c r="W44" s="12">
        <v>1</v>
      </c>
      <c r="X44" s="12">
        <v>3</v>
      </c>
      <c r="Y44" s="25" t="s">
        <v>400</v>
      </c>
      <c r="Z44" s="21" t="s">
        <v>424</v>
      </c>
      <c r="AA44" s="21" t="s">
        <v>194</v>
      </c>
      <c r="AB44" s="21" t="s">
        <v>650</v>
      </c>
      <c r="AC44" s="25" t="s">
        <v>433</v>
      </c>
      <c r="AD44" s="12">
        <v>1</v>
      </c>
      <c r="AE44" s="12">
        <v>1</v>
      </c>
      <c r="AF44" s="12">
        <v>3</v>
      </c>
      <c r="AG44" s="21" t="s">
        <v>489</v>
      </c>
      <c r="AH44" s="25" t="s">
        <v>534</v>
      </c>
      <c r="AI44" s="21" t="s">
        <v>194</v>
      </c>
      <c r="AJ44" s="21" t="s">
        <v>650</v>
      </c>
      <c r="AK44" s="21" t="s">
        <v>646</v>
      </c>
      <c r="AL44" s="12">
        <v>1</v>
      </c>
      <c r="AM44" s="12">
        <v>1</v>
      </c>
      <c r="AN44" s="12">
        <v>2</v>
      </c>
    </row>
    <row r="45" spans="1:40" ht="15.75" customHeight="1" x14ac:dyDescent="0.2">
      <c r="A45" s="11">
        <v>43</v>
      </c>
      <c r="B45" s="11" t="s">
        <v>62</v>
      </c>
      <c r="C45" s="11" t="s">
        <v>53</v>
      </c>
      <c r="D45" s="21" t="s">
        <v>135</v>
      </c>
      <c r="E45" s="21" t="s">
        <v>163</v>
      </c>
      <c r="F45" s="21" t="s">
        <v>196</v>
      </c>
      <c r="G45" s="21" t="s">
        <v>650</v>
      </c>
      <c r="H45" s="21" t="s">
        <v>214</v>
      </c>
      <c r="I45" s="24" t="s">
        <v>239</v>
      </c>
      <c r="J45" s="21" t="s">
        <v>163</v>
      </c>
      <c r="K45" s="21" t="s">
        <v>194</v>
      </c>
      <c r="L45" s="21" t="s">
        <v>650</v>
      </c>
      <c r="M45" s="24" t="s">
        <v>562</v>
      </c>
      <c r="N45" s="12">
        <v>1</v>
      </c>
      <c r="O45" s="12">
        <v>1</v>
      </c>
      <c r="P45" s="12">
        <v>1</v>
      </c>
      <c r="Q45" s="22" t="s">
        <v>314</v>
      </c>
      <c r="R45" s="21" t="s">
        <v>371</v>
      </c>
      <c r="S45" s="21" t="s">
        <v>194</v>
      </c>
      <c r="T45" s="21" t="s">
        <v>650</v>
      </c>
      <c r="U45" s="22" t="s">
        <v>608</v>
      </c>
      <c r="V45" s="12">
        <v>1</v>
      </c>
      <c r="W45" s="12">
        <v>1</v>
      </c>
      <c r="X45" s="12">
        <v>2</v>
      </c>
      <c r="Y45" s="24" t="s">
        <v>239</v>
      </c>
      <c r="Z45" s="21" t="s">
        <v>424</v>
      </c>
      <c r="AA45" s="21" t="s">
        <v>192</v>
      </c>
      <c r="AB45" s="21" t="s">
        <v>650</v>
      </c>
      <c r="AC45" s="24" t="s">
        <v>630</v>
      </c>
      <c r="AD45" s="12">
        <v>1</v>
      </c>
      <c r="AE45" s="12">
        <v>1</v>
      </c>
      <c r="AF45" s="12">
        <v>1</v>
      </c>
      <c r="AG45" s="21" t="s">
        <v>490</v>
      </c>
      <c r="AH45" s="25" t="s">
        <v>652</v>
      </c>
      <c r="AI45" s="21" t="s">
        <v>194</v>
      </c>
      <c r="AJ45" s="21" t="s">
        <v>650</v>
      </c>
      <c r="AK45" s="21" t="s">
        <v>646</v>
      </c>
      <c r="AL45" s="12">
        <v>1</v>
      </c>
      <c r="AM45" s="12">
        <v>1</v>
      </c>
      <c r="AN45" s="12">
        <v>2</v>
      </c>
    </row>
    <row r="46" spans="1:40" ht="15.75" customHeight="1" x14ac:dyDescent="0.2">
      <c r="A46" s="11">
        <v>44</v>
      </c>
      <c r="B46" s="11" t="s">
        <v>63</v>
      </c>
      <c r="C46" s="11" t="s">
        <v>53</v>
      </c>
      <c r="D46" s="21" t="s">
        <v>136</v>
      </c>
      <c r="E46" s="21" t="s">
        <v>181</v>
      </c>
      <c r="F46" s="21" t="s">
        <v>192</v>
      </c>
      <c r="G46" s="21" t="s">
        <v>651</v>
      </c>
      <c r="H46" s="21" t="s">
        <v>207</v>
      </c>
      <c r="I46" s="27" t="s">
        <v>240</v>
      </c>
      <c r="J46" s="23" t="s">
        <v>136</v>
      </c>
      <c r="K46" s="21" t="s">
        <v>192</v>
      </c>
      <c r="L46" s="21" t="s">
        <v>650</v>
      </c>
      <c r="M46" s="27" t="s">
        <v>546</v>
      </c>
      <c r="N46" s="12">
        <v>1</v>
      </c>
      <c r="O46" s="12">
        <v>1</v>
      </c>
      <c r="P46" s="12">
        <v>3</v>
      </c>
      <c r="Q46" s="25" t="s">
        <v>315</v>
      </c>
      <c r="R46" s="21" t="s">
        <v>372</v>
      </c>
      <c r="S46" s="21" t="s">
        <v>192</v>
      </c>
      <c r="T46" s="21" t="s">
        <v>651</v>
      </c>
      <c r="U46" s="25" t="s">
        <v>609</v>
      </c>
      <c r="V46" s="12">
        <v>1</v>
      </c>
      <c r="W46" s="12">
        <v>1</v>
      </c>
      <c r="X46" s="12">
        <v>3</v>
      </c>
      <c r="Y46" s="25" t="s">
        <v>136</v>
      </c>
      <c r="Z46" s="21" t="s">
        <v>136</v>
      </c>
      <c r="AA46" s="21" t="s">
        <v>192</v>
      </c>
      <c r="AB46" s="21" t="s">
        <v>650</v>
      </c>
      <c r="AC46" s="25" t="s">
        <v>630</v>
      </c>
      <c r="AD46" s="12">
        <v>1</v>
      </c>
      <c r="AE46" s="12">
        <v>1</v>
      </c>
      <c r="AF46" s="12">
        <v>3</v>
      </c>
      <c r="AG46" s="28" t="s">
        <v>491</v>
      </c>
      <c r="AH46" s="24" t="s">
        <v>535</v>
      </c>
      <c r="AI46" s="21" t="s">
        <v>192</v>
      </c>
      <c r="AJ46" s="21" t="s">
        <v>650</v>
      </c>
      <c r="AK46" s="21" t="s">
        <v>643</v>
      </c>
      <c r="AL46" s="12">
        <v>1</v>
      </c>
      <c r="AM46" s="12">
        <v>0</v>
      </c>
      <c r="AN46" s="12">
        <v>3</v>
      </c>
    </row>
    <row r="47" spans="1:40" ht="15.75" customHeight="1" x14ac:dyDescent="0.2">
      <c r="A47" s="26">
        <v>45</v>
      </c>
      <c r="B47" s="11" t="s">
        <v>64</v>
      </c>
      <c r="C47" s="11" t="s">
        <v>53</v>
      </c>
      <c r="D47" s="23" t="s">
        <v>137</v>
      </c>
      <c r="E47" s="21" t="s">
        <v>178</v>
      </c>
      <c r="F47" s="21" t="s">
        <v>194</v>
      </c>
      <c r="G47" s="21" t="s">
        <v>650</v>
      </c>
      <c r="H47" s="23" t="s">
        <v>199</v>
      </c>
      <c r="I47" s="24" t="s">
        <v>137</v>
      </c>
      <c r="J47" s="21" t="s">
        <v>265</v>
      </c>
      <c r="K47" s="21" t="s">
        <v>194</v>
      </c>
      <c r="L47" s="21" t="s">
        <v>650</v>
      </c>
      <c r="M47" s="24" t="s">
        <v>563</v>
      </c>
      <c r="N47" s="12">
        <v>1</v>
      </c>
      <c r="O47" s="12">
        <v>1</v>
      </c>
      <c r="P47" s="12">
        <v>1</v>
      </c>
      <c r="Q47" s="25" t="s">
        <v>316</v>
      </c>
      <c r="R47" s="21" t="s">
        <v>373</v>
      </c>
      <c r="S47" s="21" t="s">
        <v>194</v>
      </c>
      <c r="T47" s="21" t="s">
        <v>650</v>
      </c>
      <c r="U47" s="25" t="s">
        <v>610</v>
      </c>
      <c r="V47" s="12">
        <v>1</v>
      </c>
      <c r="W47" s="12">
        <v>1</v>
      </c>
      <c r="X47" s="12">
        <v>3</v>
      </c>
      <c r="Y47" s="24" t="s">
        <v>137</v>
      </c>
      <c r="Z47" s="21" t="s">
        <v>425</v>
      </c>
      <c r="AA47" s="21" t="s">
        <v>194</v>
      </c>
      <c r="AB47" s="21" t="s">
        <v>650</v>
      </c>
      <c r="AC47" s="24" t="s">
        <v>640</v>
      </c>
      <c r="AD47" s="12">
        <v>1</v>
      </c>
      <c r="AE47" s="12">
        <v>1</v>
      </c>
      <c r="AF47" s="12">
        <v>1</v>
      </c>
      <c r="AG47" s="21" t="s">
        <v>492</v>
      </c>
      <c r="AH47" s="25" t="s">
        <v>653</v>
      </c>
      <c r="AI47" s="21" t="s">
        <v>192</v>
      </c>
      <c r="AJ47" s="21" t="s">
        <v>650</v>
      </c>
      <c r="AK47" s="21" t="s">
        <v>643</v>
      </c>
      <c r="AL47" s="12">
        <v>1</v>
      </c>
      <c r="AM47" s="12">
        <v>1</v>
      </c>
      <c r="AN47" s="12">
        <v>3</v>
      </c>
    </row>
    <row r="48" spans="1:40" ht="15.75" customHeight="1" x14ac:dyDescent="0.2">
      <c r="A48" s="43">
        <v>46</v>
      </c>
      <c r="B48" s="11" t="s">
        <v>65</v>
      </c>
      <c r="C48" s="11" t="s">
        <v>66</v>
      </c>
      <c r="D48" s="44" t="s">
        <v>138</v>
      </c>
      <c r="E48" s="21" t="s">
        <v>182</v>
      </c>
      <c r="F48" s="21" t="s">
        <v>192</v>
      </c>
      <c r="G48" s="21" t="s">
        <v>650</v>
      </c>
      <c r="H48" s="44" t="s">
        <v>207</v>
      </c>
      <c r="I48" s="25" t="s">
        <v>241</v>
      </c>
      <c r="J48" s="21" t="s">
        <v>266</v>
      </c>
      <c r="K48" s="21" t="s">
        <v>192</v>
      </c>
      <c r="L48" s="21" t="s">
        <v>651</v>
      </c>
      <c r="M48" s="25" t="s">
        <v>546</v>
      </c>
      <c r="N48" s="12">
        <v>1</v>
      </c>
      <c r="O48" s="12">
        <v>1</v>
      </c>
      <c r="P48" s="12">
        <v>3</v>
      </c>
      <c r="Q48" s="25" t="s">
        <v>317</v>
      </c>
      <c r="R48" s="21" t="s">
        <v>374</v>
      </c>
      <c r="S48" s="21" t="s">
        <v>192</v>
      </c>
      <c r="T48" s="21" t="s">
        <v>650</v>
      </c>
      <c r="U48" s="25" t="s">
        <v>611</v>
      </c>
      <c r="V48" s="12">
        <v>1</v>
      </c>
      <c r="W48" s="12">
        <v>1</v>
      </c>
      <c r="X48" s="12">
        <v>3</v>
      </c>
      <c r="Y48" s="25" t="s">
        <v>241</v>
      </c>
      <c r="Z48" s="21" t="s">
        <v>268</v>
      </c>
      <c r="AA48" s="21" t="s">
        <v>192</v>
      </c>
      <c r="AB48" s="21" t="s">
        <v>650</v>
      </c>
      <c r="AC48" s="25" t="s">
        <v>630</v>
      </c>
      <c r="AD48" s="12">
        <v>1</v>
      </c>
      <c r="AE48" s="12">
        <v>1</v>
      </c>
      <c r="AF48" s="12">
        <v>3</v>
      </c>
      <c r="AG48" s="21" t="s">
        <v>493</v>
      </c>
      <c r="AH48" s="25" t="s">
        <v>659</v>
      </c>
      <c r="AI48" s="21" t="s">
        <v>192</v>
      </c>
      <c r="AJ48" s="21" t="s">
        <v>650</v>
      </c>
      <c r="AK48" s="21" t="s">
        <v>643</v>
      </c>
      <c r="AL48" s="12">
        <v>1</v>
      </c>
      <c r="AM48" s="12">
        <v>1</v>
      </c>
      <c r="AN48" s="12">
        <v>3</v>
      </c>
    </row>
    <row r="49" spans="1:40" ht="15.75" customHeight="1" x14ac:dyDescent="0.2">
      <c r="A49" s="11">
        <v>47</v>
      </c>
      <c r="B49" s="11" t="s">
        <v>67</v>
      </c>
      <c r="C49" s="11" t="s">
        <v>66</v>
      </c>
      <c r="D49" s="21" t="s">
        <v>139</v>
      </c>
      <c r="E49" s="21" t="s">
        <v>183</v>
      </c>
      <c r="F49" s="21" t="s">
        <v>193</v>
      </c>
      <c r="G49" s="21" t="s">
        <v>650</v>
      </c>
      <c r="H49" s="21" t="s">
        <v>213</v>
      </c>
      <c r="I49" s="25" t="s">
        <v>149</v>
      </c>
      <c r="J49" s="21" t="s">
        <v>267</v>
      </c>
      <c r="K49" s="21" t="s">
        <v>194</v>
      </c>
      <c r="L49" s="21" t="s">
        <v>651</v>
      </c>
      <c r="M49" s="25" t="s">
        <v>548</v>
      </c>
      <c r="N49" s="12">
        <v>1</v>
      </c>
      <c r="O49" s="12">
        <v>1</v>
      </c>
      <c r="P49" s="12">
        <v>3</v>
      </c>
      <c r="Q49" s="25" t="s">
        <v>318</v>
      </c>
      <c r="R49" s="21" t="s">
        <v>375</v>
      </c>
      <c r="S49" s="21" t="s">
        <v>193</v>
      </c>
      <c r="T49" s="21" t="s">
        <v>650</v>
      </c>
      <c r="U49" s="25" t="s">
        <v>612</v>
      </c>
      <c r="V49" s="12">
        <v>1</v>
      </c>
      <c r="W49" s="12">
        <v>1</v>
      </c>
      <c r="X49" s="12">
        <v>2</v>
      </c>
      <c r="Y49" s="25" t="s">
        <v>149</v>
      </c>
      <c r="Z49" s="21" t="s">
        <v>426</v>
      </c>
      <c r="AA49" s="21" t="s">
        <v>194</v>
      </c>
      <c r="AB49" s="21" t="s">
        <v>650</v>
      </c>
      <c r="AC49" s="25" t="s">
        <v>641</v>
      </c>
      <c r="AD49" s="12">
        <v>1</v>
      </c>
      <c r="AE49" s="12">
        <v>1</v>
      </c>
      <c r="AF49" s="12">
        <v>3</v>
      </c>
      <c r="AG49" s="28" t="s">
        <v>494</v>
      </c>
      <c r="AH49" s="25" t="s">
        <v>524</v>
      </c>
      <c r="AI49" s="21" t="s">
        <v>192</v>
      </c>
      <c r="AJ49" s="21" t="s">
        <v>650</v>
      </c>
      <c r="AK49" s="21" t="s">
        <v>646</v>
      </c>
      <c r="AL49" s="12">
        <v>1</v>
      </c>
      <c r="AM49" s="12">
        <v>1</v>
      </c>
      <c r="AN49" s="12">
        <v>2</v>
      </c>
    </row>
    <row r="50" spans="1:40" ht="15.75" customHeight="1" x14ac:dyDescent="0.2">
      <c r="A50" s="11">
        <v>48</v>
      </c>
      <c r="B50" s="11" t="s">
        <v>68</v>
      </c>
      <c r="C50" s="11" t="s">
        <v>66</v>
      </c>
      <c r="D50" s="21" t="s">
        <v>140</v>
      </c>
      <c r="E50" s="21" t="s">
        <v>184</v>
      </c>
      <c r="F50" s="21" t="s">
        <v>192</v>
      </c>
      <c r="G50" s="21" t="s">
        <v>650</v>
      </c>
      <c r="H50" s="21" t="s">
        <v>207</v>
      </c>
      <c r="I50" s="25" t="s">
        <v>242</v>
      </c>
      <c r="J50" s="21" t="s">
        <v>161</v>
      </c>
      <c r="K50" s="21" t="s">
        <v>192</v>
      </c>
      <c r="L50" s="21" t="s">
        <v>650</v>
      </c>
      <c r="M50" s="25" t="s">
        <v>564</v>
      </c>
      <c r="N50" s="12">
        <v>1</v>
      </c>
      <c r="O50" s="12">
        <v>1</v>
      </c>
      <c r="P50" s="12">
        <v>3</v>
      </c>
      <c r="Q50" s="25" t="s">
        <v>319</v>
      </c>
      <c r="R50" s="21" t="s">
        <v>376</v>
      </c>
      <c r="S50" s="21" t="s">
        <v>192</v>
      </c>
      <c r="T50" s="21" t="s">
        <v>650</v>
      </c>
      <c r="U50" s="25" t="s">
        <v>613</v>
      </c>
      <c r="V50" s="12">
        <v>1</v>
      </c>
      <c r="W50" s="12">
        <v>1</v>
      </c>
      <c r="X50" s="12">
        <v>3</v>
      </c>
      <c r="Y50" s="25" t="s">
        <v>140</v>
      </c>
      <c r="Z50" s="21" t="s">
        <v>161</v>
      </c>
      <c r="AA50" s="21" t="s">
        <v>192</v>
      </c>
      <c r="AB50" s="21" t="s">
        <v>650</v>
      </c>
      <c r="AC50" s="25" t="s">
        <v>630</v>
      </c>
      <c r="AD50" s="12">
        <v>1</v>
      </c>
      <c r="AE50" s="12">
        <v>1</v>
      </c>
      <c r="AF50" s="12">
        <v>3</v>
      </c>
      <c r="AG50" s="21" t="s">
        <v>495</v>
      </c>
      <c r="AH50" s="25" t="s">
        <v>536</v>
      </c>
      <c r="AI50" s="24" t="s">
        <v>193</v>
      </c>
      <c r="AJ50" s="21" t="s">
        <v>650</v>
      </c>
      <c r="AK50" s="21" t="s">
        <v>645</v>
      </c>
      <c r="AL50" s="12">
        <v>1</v>
      </c>
      <c r="AM50" s="12">
        <v>1</v>
      </c>
      <c r="AN50" s="12">
        <v>1</v>
      </c>
    </row>
    <row r="51" spans="1:40" ht="15.75" customHeight="1" x14ac:dyDescent="0.2">
      <c r="A51" s="11">
        <v>49</v>
      </c>
      <c r="B51" s="11" t="s">
        <v>69</v>
      </c>
      <c r="C51" s="11" t="s">
        <v>66</v>
      </c>
      <c r="D51" s="21" t="s">
        <v>141</v>
      </c>
      <c r="E51" s="21" t="s">
        <v>185</v>
      </c>
      <c r="F51" s="21" t="s">
        <v>192</v>
      </c>
      <c r="G51" s="21" t="s">
        <v>650</v>
      </c>
      <c r="H51" s="21" t="s">
        <v>207</v>
      </c>
      <c r="I51" s="25" t="s">
        <v>149</v>
      </c>
      <c r="J51" s="21" t="s">
        <v>260</v>
      </c>
      <c r="K51" s="21" t="s">
        <v>192</v>
      </c>
      <c r="L51" s="21" t="s">
        <v>651</v>
      </c>
      <c r="M51" s="25" t="s">
        <v>546</v>
      </c>
      <c r="N51" s="12">
        <v>1</v>
      </c>
      <c r="O51" s="12">
        <v>1</v>
      </c>
      <c r="P51" s="12">
        <v>3</v>
      </c>
      <c r="Q51" s="25" t="s">
        <v>141</v>
      </c>
      <c r="R51" s="21" t="s">
        <v>377</v>
      </c>
      <c r="S51" s="21" t="s">
        <v>194</v>
      </c>
      <c r="T51" s="21" t="s">
        <v>650</v>
      </c>
      <c r="U51" s="25" t="s">
        <v>614</v>
      </c>
      <c r="V51" s="12">
        <v>1</v>
      </c>
      <c r="W51" s="12">
        <v>1</v>
      </c>
      <c r="X51" s="12">
        <v>3</v>
      </c>
      <c r="Y51" s="25" t="s">
        <v>149</v>
      </c>
      <c r="Z51" s="21" t="s">
        <v>427</v>
      </c>
      <c r="AA51" s="21" t="s">
        <v>194</v>
      </c>
      <c r="AB51" s="21" t="s">
        <v>651</v>
      </c>
      <c r="AC51" s="25" t="s">
        <v>630</v>
      </c>
      <c r="AD51" s="12">
        <v>1</v>
      </c>
      <c r="AE51" s="12">
        <v>1</v>
      </c>
      <c r="AF51" s="12">
        <v>3</v>
      </c>
      <c r="AG51" s="21" t="s">
        <v>496</v>
      </c>
      <c r="AH51" s="24" t="s">
        <v>537</v>
      </c>
      <c r="AI51" s="21" t="s">
        <v>192</v>
      </c>
      <c r="AJ51" s="21" t="s">
        <v>650</v>
      </c>
      <c r="AK51" s="21" t="s">
        <v>643</v>
      </c>
      <c r="AL51" s="12">
        <v>1</v>
      </c>
      <c r="AM51" s="12">
        <v>0</v>
      </c>
      <c r="AN51" s="12">
        <v>3</v>
      </c>
    </row>
    <row r="52" spans="1:40" ht="15.75" customHeight="1" x14ac:dyDescent="0.2">
      <c r="A52" s="11">
        <v>50</v>
      </c>
      <c r="B52" s="11" t="s">
        <v>70</v>
      </c>
      <c r="C52" s="11" t="s">
        <v>66</v>
      </c>
      <c r="D52" s="21" t="s">
        <v>142</v>
      </c>
      <c r="E52" s="21" t="s">
        <v>186</v>
      </c>
      <c r="F52" s="21" t="s">
        <v>195</v>
      </c>
      <c r="G52" s="21" t="s">
        <v>650</v>
      </c>
      <c r="H52" s="21" t="s">
        <v>215</v>
      </c>
      <c r="I52" s="25" t="s">
        <v>241</v>
      </c>
      <c r="J52" s="21" t="s">
        <v>268</v>
      </c>
      <c r="K52" s="21" t="s">
        <v>194</v>
      </c>
      <c r="L52" s="21" t="s">
        <v>651</v>
      </c>
      <c r="M52" s="25" t="s">
        <v>565</v>
      </c>
      <c r="N52" s="12">
        <v>1</v>
      </c>
      <c r="O52" s="12">
        <v>1</v>
      </c>
      <c r="P52" s="12">
        <v>3</v>
      </c>
      <c r="Q52" s="25" t="s">
        <v>320</v>
      </c>
      <c r="R52" s="21" t="s">
        <v>378</v>
      </c>
      <c r="S52" s="21" t="s">
        <v>194</v>
      </c>
      <c r="T52" s="21" t="s">
        <v>650</v>
      </c>
      <c r="U52" s="25" t="s">
        <v>615</v>
      </c>
      <c r="V52" s="12">
        <v>1</v>
      </c>
      <c r="W52" s="12">
        <v>1</v>
      </c>
      <c r="X52" s="12">
        <v>3</v>
      </c>
      <c r="Y52" s="25" t="s">
        <v>241</v>
      </c>
      <c r="Z52" s="21" t="s">
        <v>428</v>
      </c>
      <c r="AA52" s="21" t="s">
        <v>194</v>
      </c>
      <c r="AB52" s="21" t="s">
        <v>650</v>
      </c>
      <c r="AC52" s="25" t="s">
        <v>447</v>
      </c>
      <c r="AD52" s="12">
        <v>1</v>
      </c>
      <c r="AE52" s="12">
        <v>1</v>
      </c>
      <c r="AF52" s="12">
        <v>3</v>
      </c>
      <c r="AG52" s="21" t="s">
        <v>497</v>
      </c>
      <c r="AH52" s="25" t="s">
        <v>538</v>
      </c>
      <c r="AI52" s="21" t="s">
        <v>192</v>
      </c>
      <c r="AJ52" s="21" t="s">
        <v>650</v>
      </c>
      <c r="AK52" s="21" t="s">
        <v>643</v>
      </c>
      <c r="AL52" s="12">
        <v>1</v>
      </c>
      <c r="AM52" s="12">
        <v>1</v>
      </c>
      <c r="AN52" s="12">
        <v>3</v>
      </c>
    </row>
    <row r="53" spans="1:40" ht="15.75" customHeight="1" x14ac:dyDescent="0.2">
      <c r="A53" s="11">
        <v>51</v>
      </c>
      <c r="B53" s="11" t="s">
        <v>71</v>
      </c>
      <c r="C53" s="11" t="s">
        <v>66</v>
      </c>
      <c r="D53" s="21" t="s">
        <v>143</v>
      </c>
      <c r="E53" s="21" t="s">
        <v>187</v>
      </c>
      <c r="F53" s="21" t="s">
        <v>192</v>
      </c>
      <c r="G53" s="21" t="s">
        <v>650</v>
      </c>
      <c r="H53" s="21" t="s">
        <v>207</v>
      </c>
      <c r="I53" s="25" t="s">
        <v>243</v>
      </c>
      <c r="J53" s="21" t="s">
        <v>269</v>
      </c>
      <c r="K53" s="21" t="s">
        <v>192</v>
      </c>
      <c r="L53" s="21" t="s">
        <v>650</v>
      </c>
      <c r="M53" s="25" t="s">
        <v>550</v>
      </c>
      <c r="N53" s="12">
        <v>1</v>
      </c>
      <c r="O53" s="12">
        <v>1</v>
      </c>
      <c r="P53" s="12">
        <v>3</v>
      </c>
      <c r="Q53" s="25" t="s">
        <v>321</v>
      </c>
      <c r="R53" s="21" t="s">
        <v>379</v>
      </c>
      <c r="S53" s="21" t="s">
        <v>192</v>
      </c>
      <c r="T53" s="21" t="s">
        <v>650</v>
      </c>
      <c r="U53" s="25" t="s">
        <v>616</v>
      </c>
      <c r="V53" s="12">
        <v>1</v>
      </c>
      <c r="W53" s="12">
        <v>1</v>
      </c>
      <c r="X53" s="12">
        <v>3</v>
      </c>
      <c r="Y53" s="25" t="s">
        <v>140</v>
      </c>
      <c r="Z53" s="21" t="s">
        <v>269</v>
      </c>
      <c r="AA53" s="21" t="s">
        <v>192</v>
      </c>
      <c r="AB53" s="21" t="s">
        <v>650</v>
      </c>
      <c r="AC53" s="25" t="s">
        <v>630</v>
      </c>
      <c r="AD53" s="12">
        <v>1</v>
      </c>
      <c r="AE53" s="12">
        <v>1</v>
      </c>
      <c r="AF53" s="12">
        <v>3</v>
      </c>
      <c r="AG53" s="28" t="s">
        <v>498</v>
      </c>
      <c r="AH53" s="24" t="s">
        <v>539</v>
      </c>
      <c r="AI53" s="21" t="s">
        <v>192</v>
      </c>
      <c r="AJ53" s="21" t="s">
        <v>650</v>
      </c>
      <c r="AK53" s="21" t="s">
        <v>643</v>
      </c>
      <c r="AL53" s="12">
        <v>1</v>
      </c>
      <c r="AM53" s="12">
        <v>0</v>
      </c>
      <c r="AN53" s="12">
        <v>3</v>
      </c>
    </row>
    <row r="54" spans="1:40" ht="15.75" customHeight="1" x14ac:dyDescent="0.2">
      <c r="A54" s="11">
        <v>52</v>
      </c>
      <c r="B54" s="11" t="s">
        <v>72</v>
      </c>
      <c r="C54" s="11" t="s">
        <v>66</v>
      </c>
      <c r="D54" s="21" t="s">
        <v>144</v>
      </c>
      <c r="E54" s="21" t="s">
        <v>188</v>
      </c>
      <c r="F54" s="21" t="s">
        <v>192</v>
      </c>
      <c r="G54" s="21" t="s">
        <v>650</v>
      </c>
      <c r="H54" s="21" t="s">
        <v>207</v>
      </c>
      <c r="I54" s="25" t="s">
        <v>243</v>
      </c>
      <c r="J54" s="21" t="s">
        <v>161</v>
      </c>
      <c r="K54" s="21" t="s">
        <v>192</v>
      </c>
      <c r="L54" s="21" t="s">
        <v>650</v>
      </c>
      <c r="M54" s="25" t="s">
        <v>546</v>
      </c>
      <c r="N54" s="12">
        <v>1</v>
      </c>
      <c r="O54" s="12">
        <v>1</v>
      </c>
      <c r="P54" s="12">
        <v>3</v>
      </c>
      <c r="Q54" s="25" t="s">
        <v>322</v>
      </c>
      <c r="R54" s="21" t="s">
        <v>380</v>
      </c>
      <c r="S54" s="21" t="s">
        <v>192</v>
      </c>
      <c r="T54" s="21" t="s">
        <v>651</v>
      </c>
      <c r="U54" s="25" t="s">
        <v>617</v>
      </c>
      <c r="V54" s="12">
        <v>1</v>
      </c>
      <c r="W54" s="12">
        <v>1</v>
      </c>
      <c r="X54" s="12">
        <v>3</v>
      </c>
      <c r="Y54" s="25" t="s">
        <v>243</v>
      </c>
      <c r="Z54" s="21" t="s">
        <v>429</v>
      </c>
      <c r="AA54" s="21" t="s">
        <v>192</v>
      </c>
      <c r="AB54" s="21" t="s">
        <v>650</v>
      </c>
      <c r="AC54" s="25" t="s">
        <v>446</v>
      </c>
      <c r="AD54" s="12">
        <v>1</v>
      </c>
      <c r="AE54" s="12">
        <v>1</v>
      </c>
      <c r="AF54" s="12">
        <v>3</v>
      </c>
      <c r="AG54" s="28" t="s">
        <v>499</v>
      </c>
      <c r="AH54" s="24" t="s">
        <v>535</v>
      </c>
      <c r="AI54" s="21" t="s">
        <v>192</v>
      </c>
      <c r="AJ54" s="21" t="s">
        <v>650</v>
      </c>
      <c r="AK54" s="21" t="s">
        <v>643</v>
      </c>
      <c r="AL54" s="12">
        <v>1</v>
      </c>
      <c r="AM54" s="12">
        <v>0</v>
      </c>
      <c r="AN54" s="12">
        <v>3</v>
      </c>
    </row>
    <row r="55" spans="1:40" ht="15.75" customHeight="1" x14ac:dyDescent="0.2">
      <c r="A55" s="11">
        <v>53</v>
      </c>
      <c r="B55" s="11" t="s">
        <v>73</v>
      </c>
      <c r="C55" s="11" t="s">
        <v>66</v>
      </c>
      <c r="D55" s="21" t="s">
        <v>145</v>
      </c>
      <c r="E55" s="21" t="s">
        <v>189</v>
      </c>
      <c r="F55" s="21" t="s">
        <v>192</v>
      </c>
      <c r="G55" s="21" t="s">
        <v>650</v>
      </c>
      <c r="H55" s="21" t="s">
        <v>207</v>
      </c>
      <c r="I55" s="25" t="s">
        <v>145</v>
      </c>
      <c r="J55" s="21" t="s">
        <v>270</v>
      </c>
      <c r="K55" s="21" t="s">
        <v>192</v>
      </c>
      <c r="L55" s="21" t="s">
        <v>650</v>
      </c>
      <c r="M55" s="25" t="s">
        <v>549</v>
      </c>
      <c r="N55" s="12">
        <v>1</v>
      </c>
      <c r="O55" s="12">
        <v>1</v>
      </c>
      <c r="P55" s="12">
        <v>3</v>
      </c>
      <c r="Q55" s="25" t="s">
        <v>323</v>
      </c>
      <c r="R55" s="21" t="s">
        <v>381</v>
      </c>
      <c r="S55" s="21" t="s">
        <v>192</v>
      </c>
      <c r="T55" s="21" t="s">
        <v>650</v>
      </c>
      <c r="U55" s="25" t="s">
        <v>618</v>
      </c>
      <c r="V55" s="12">
        <v>1</v>
      </c>
      <c r="W55" s="12">
        <v>1</v>
      </c>
      <c r="X55" s="12">
        <v>3</v>
      </c>
      <c r="Y55" s="25" t="s">
        <v>244</v>
      </c>
      <c r="Z55" s="21" t="s">
        <v>430</v>
      </c>
      <c r="AA55" s="21" t="s">
        <v>192</v>
      </c>
      <c r="AB55" s="21" t="s">
        <v>650</v>
      </c>
      <c r="AC55" s="25" t="s">
        <v>446</v>
      </c>
      <c r="AD55" s="12">
        <v>1</v>
      </c>
      <c r="AE55" s="12">
        <v>1</v>
      </c>
      <c r="AF55" s="12">
        <v>3</v>
      </c>
      <c r="AG55" s="28" t="s">
        <v>500</v>
      </c>
      <c r="AH55" s="24" t="s">
        <v>540</v>
      </c>
      <c r="AI55" s="21" t="s">
        <v>192</v>
      </c>
      <c r="AJ55" s="21" t="s">
        <v>650</v>
      </c>
      <c r="AK55" s="21" t="s">
        <v>643</v>
      </c>
      <c r="AL55" s="12">
        <v>1</v>
      </c>
      <c r="AM55" s="12">
        <v>0</v>
      </c>
      <c r="AN55" s="12">
        <v>3</v>
      </c>
    </row>
    <row r="56" spans="1:40" ht="15.75" customHeight="1" x14ac:dyDescent="0.2">
      <c r="A56" s="11">
        <v>54</v>
      </c>
      <c r="B56" s="11" t="s">
        <v>74</v>
      </c>
      <c r="C56" s="11" t="s">
        <v>66</v>
      </c>
      <c r="D56" s="21" t="s">
        <v>146</v>
      </c>
      <c r="E56" s="21" t="s">
        <v>189</v>
      </c>
      <c r="F56" s="21" t="s">
        <v>192</v>
      </c>
      <c r="G56" s="21" t="s">
        <v>650</v>
      </c>
      <c r="H56" s="21" t="s">
        <v>207</v>
      </c>
      <c r="I56" s="24" t="s">
        <v>244</v>
      </c>
      <c r="J56" s="21" t="s">
        <v>271</v>
      </c>
      <c r="K56" s="21" t="s">
        <v>194</v>
      </c>
      <c r="L56" s="21" t="s">
        <v>650</v>
      </c>
      <c r="M56" s="24" t="s">
        <v>565</v>
      </c>
      <c r="N56" s="12">
        <v>1</v>
      </c>
      <c r="O56" s="12">
        <v>1</v>
      </c>
      <c r="P56" s="12">
        <v>1</v>
      </c>
      <c r="Q56" s="25" t="s">
        <v>324</v>
      </c>
      <c r="R56" s="21" t="s">
        <v>382</v>
      </c>
      <c r="S56" s="21" t="s">
        <v>192</v>
      </c>
      <c r="T56" s="21" t="s">
        <v>650</v>
      </c>
      <c r="U56" s="25" t="s">
        <v>619</v>
      </c>
      <c r="V56" s="12">
        <v>1</v>
      </c>
      <c r="W56" s="12">
        <v>1</v>
      </c>
      <c r="X56" s="12">
        <v>3</v>
      </c>
      <c r="Y56" s="24" t="s">
        <v>244</v>
      </c>
      <c r="Z56" s="21" t="s">
        <v>431</v>
      </c>
      <c r="AA56" s="21" t="s">
        <v>194</v>
      </c>
      <c r="AB56" s="21" t="s">
        <v>650</v>
      </c>
      <c r="AC56" s="24" t="s">
        <v>642</v>
      </c>
      <c r="AD56" s="12">
        <v>1</v>
      </c>
      <c r="AE56" s="12">
        <v>1</v>
      </c>
      <c r="AF56" s="12">
        <v>1</v>
      </c>
      <c r="AG56" s="28" t="s">
        <v>501</v>
      </c>
      <c r="AH56" s="24" t="s">
        <v>535</v>
      </c>
      <c r="AI56" s="21" t="s">
        <v>192</v>
      </c>
      <c r="AJ56" s="21" t="s">
        <v>650</v>
      </c>
      <c r="AK56" s="21" t="s">
        <v>643</v>
      </c>
      <c r="AL56" s="12">
        <v>1</v>
      </c>
      <c r="AM56" s="12">
        <v>0</v>
      </c>
      <c r="AN56" s="12">
        <v>3</v>
      </c>
    </row>
    <row r="57" spans="1:40" ht="15.75" customHeight="1" x14ac:dyDescent="0.2">
      <c r="A57" s="11">
        <v>55</v>
      </c>
      <c r="B57" s="11" t="s">
        <v>75</v>
      </c>
      <c r="C57" s="11" t="s">
        <v>66</v>
      </c>
      <c r="D57" s="21" t="s">
        <v>147</v>
      </c>
      <c r="E57" s="21" t="s">
        <v>184</v>
      </c>
      <c r="F57" s="21" t="s">
        <v>192</v>
      </c>
      <c r="G57" s="21" t="s">
        <v>650</v>
      </c>
      <c r="H57" s="21" t="s">
        <v>207</v>
      </c>
      <c r="I57" s="25" t="s">
        <v>245</v>
      </c>
      <c r="J57" s="21" t="s">
        <v>272</v>
      </c>
      <c r="K57" s="21" t="s">
        <v>192</v>
      </c>
      <c r="L57" s="21" t="s">
        <v>651</v>
      </c>
      <c r="M57" s="25" t="s">
        <v>546</v>
      </c>
      <c r="N57" s="12">
        <v>1</v>
      </c>
      <c r="O57" s="12">
        <v>1</v>
      </c>
      <c r="P57" s="12">
        <v>3</v>
      </c>
      <c r="Q57" s="25" t="s">
        <v>325</v>
      </c>
      <c r="R57" s="21" t="s">
        <v>383</v>
      </c>
      <c r="S57" s="21" t="s">
        <v>192</v>
      </c>
      <c r="T57" s="21" t="s">
        <v>650</v>
      </c>
      <c r="U57" s="25" t="s">
        <v>620</v>
      </c>
      <c r="V57" s="12">
        <v>1</v>
      </c>
      <c r="W57" s="12">
        <v>1</v>
      </c>
      <c r="X57" s="12">
        <v>3</v>
      </c>
      <c r="Y57" s="27" t="s">
        <v>401</v>
      </c>
      <c r="Z57" s="21" t="s">
        <v>272</v>
      </c>
      <c r="AA57" s="21" t="s">
        <v>192</v>
      </c>
      <c r="AB57" s="21" t="s">
        <v>650</v>
      </c>
      <c r="AC57" s="27" t="s">
        <v>630</v>
      </c>
      <c r="AD57" s="12">
        <v>0</v>
      </c>
      <c r="AE57" s="12">
        <v>1</v>
      </c>
      <c r="AF57" s="12">
        <v>3</v>
      </c>
      <c r="AG57" s="21" t="s">
        <v>502</v>
      </c>
      <c r="AH57" s="24" t="s">
        <v>541</v>
      </c>
      <c r="AI57" s="21" t="s">
        <v>192</v>
      </c>
      <c r="AJ57" s="21" t="s">
        <v>650</v>
      </c>
      <c r="AK57" s="21" t="s">
        <v>643</v>
      </c>
      <c r="AL57" s="12">
        <v>1</v>
      </c>
      <c r="AM57" s="12">
        <v>0</v>
      </c>
      <c r="AN57" s="12">
        <v>3</v>
      </c>
    </row>
    <row r="58" spans="1:40" ht="15.75" customHeight="1" x14ac:dyDescent="0.2">
      <c r="A58" s="11">
        <v>56</v>
      </c>
      <c r="B58" s="11" t="s">
        <v>76</v>
      </c>
      <c r="C58" s="11" t="s">
        <v>66</v>
      </c>
      <c r="D58" s="21" t="s">
        <v>148</v>
      </c>
      <c r="E58" s="21" t="s">
        <v>161</v>
      </c>
      <c r="F58" s="21" t="s">
        <v>194</v>
      </c>
      <c r="G58" s="21" t="s">
        <v>650</v>
      </c>
      <c r="H58" s="21" t="s">
        <v>216</v>
      </c>
      <c r="I58" s="25" t="s">
        <v>246</v>
      </c>
      <c r="J58" s="21" t="s">
        <v>273</v>
      </c>
      <c r="K58" s="21" t="s">
        <v>194</v>
      </c>
      <c r="L58" s="21" t="s">
        <v>650</v>
      </c>
      <c r="M58" s="25" t="s">
        <v>548</v>
      </c>
      <c r="N58" s="12">
        <v>1</v>
      </c>
      <c r="O58" s="12">
        <v>1</v>
      </c>
      <c r="P58" s="12">
        <v>3</v>
      </c>
      <c r="Q58" s="25" t="s">
        <v>326</v>
      </c>
      <c r="R58" s="21" t="s">
        <v>384</v>
      </c>
      <c r="S58" s="21" t="s">
        <v>194</v>
      </c>
      <c r="T58" s="21" t="s">
        <v>650</v>
      </c>
      <c r="U58" s="25" t="s">
        <v>621</v>
      </c>
      <c r="V58" s="12">
        <v>1</v>
      </c>
      <c r="W58" s="12">
        <v>1</v>
      </c>
      <c r="X58" s="12">
        <v>3</v>
      </c>
      <c r="Y58" s="27" t="s">
        <v>148</v>
      </c>
      <c r="Z58" s="21" t="s">
        <v>273</v>
      </c>
      <c r="AA58" s="21" t="s">
        <v>194</v>
      </c>
      <c r="AB58" s="21" t="s">
        <v>650</v>
      </c>
      <c r="AC58" s="27" t="s">
        <v>636</v>
      </c>
      <c r="AD58" s="12">
        <v>1</v>
      </c>
      <c r="AE58" s="12">
        <v>1</v>
      </c>
      <c r="AF58" s="12">
        <v>3</v>
      </c>
      <c r="AG58" s="21" t="s">
        <v>503</v>
      </c>
      <c r="AH58" s="25" t="s">
        <v>542</v>
      </c>
      <c r="AI58" s="21" t="s">
        <v>192</v>
      </c>
      <c r="AJ58" s="21" t="s">
        <v>650</v>
      </c>
      <c r="AK58" s="21" t="s">
        <v>643</v>
      </c>
      <c r="AL58" s="12">
        <v>1</v>
      </c>
      <c r="AM58" s="12">
        <v>1</v>
      </c>
      <c r="AN58" s="12">
        <v>1</v>
      </c>
    </row>
    <row r="59" spans="1:40" ht="15.75" customHeight="1" x14ac:dyDescent="0.2">
      <c r="A59" s="11">
        <v>57</v>
      </c>
      <c r="B59" s="11" t="s">
        <v>77</v>
      </c>
      <c r="C59" s="11" t="s">
        <v>66</v>
      </c>
      <c r="D59" s="21" t="s">
        <v>141</v>
      </c>
      <c r="E59" s="21" t="s">
        <v>190</v>
      </c>
      <c r="F59" s="21" t="s">
        <v>193</v>
      </c>
      <c r="G59" s="21" t="s">
        <v>650</v>
      </c>
      <c r="H59" s="21" t="s">
        <v>213</v>
      </c>
      <c r="I59" s="24" t="s">
        <v>149</v>
      </c>
      <c r="J59" s="21" t="s">
        <v>274</v>
      </c>
      <c r="K59" s="21" t="s">
        <v>194</v>
      </c>
      <c r="L59" s="21" t="s">
        <v>651</v>
      </c>
      <c r="M59" s="24" t="s">
        <v>566</v>
      </c>
      <c r="N59" s="12">
        <v>1</v>
      </c>
      <c r="O59" s="12">
        <v>1</v>
      </c>
      <c r="P59" s="12">
        <v>1</v>
      </c>
      <c r="Q59" s="25" t="s">
        <v>327</v>
      </c>
      <c r="R59" s="21" t="s">
        <v>385</v>
      </c>
      <c r="S59" s="21" t="s">
        <v>193</v>
      </c>
      <c r="T59" s="21" t="s">
        <v>650</v>
      </c>
      <c r="U59" s="25" t="s">
        <v>622</v>
      </c>
      <c r="V59" s="12">
        <v>1</v>
      </c>
      <c r="W59" s="12">
        <v>1</v>
      </c>
      <c r="X59" s="12">
        <v>3</v>
      </c>
      <c r="Y59" s="22" t="s">
        <v>149</v>
      </c>
      <c r="Z59" s="21" t="s">
        <v>267</v>
      </c>
      <c r="AA59" s="21" t="s">
        <v>194</v>
      </c>
      <c r="AB59" s="21" t="s">
        <v>650</v>
      </c>
      <c r="AC59" s="22" t="s">
        <v>636</v>
      </c>
      <c r="AD59" s="12">
        <v>1</v>
      </c>
      <c r="AE59" s="12">
        <v>1</v>
      </c>
      <c r="AF59" s="12">
        <v>2</v>
      </c>
      <c r="AG59" s="21" t="s">
        <v>504</v>
      </c>
      <c r="AH59" s="24" t="s">
        <v>543</v>
      </c>
      <c r="AI59" s="21" t="s">
        <v>192</v>
      </c>
      <c r="AJ59" s="21" t="s">
        <v>650</v>
      </c>
      <c r="AK59" s="21" t="s">
        <v>643</v>
      </c>
      <c r="AL59" s="12">
        <v>1</v>
      </c>
      <c r="AM59" s="12">
        <v>0</v>
      </c>
      <c r="AN59" s="12">
        <v>1</v>
      </c>
    </row>
    <row r="60" spans="1:40" ht="15.75" customHeight="1" x14ac:dyDescent="0.2">
      <c r="A60" s="11">
        <v>58</v>
      </c>
      <c r="B60" s="11" t="s">
        <v>78</v>
      </c>
      <c r="C60" s="11" t="s">
        <v>66</v>
      </c>
      <c r="D60" s="21" t="s">
        <v>149</v>
      </c>
      <c r="E60" s="21" t="s">
        <v>191</v>
      </c>
      <c r="F60" s="21" t="s">
        <v>194</v>
      </c>
      <c r="G60" s="21" t="s">
        <v>650</v>
      </c>
      <c r="H60" s="21" t="s">
        <v>213</v>
      </c>
      <c r="I60" s="25" t="s">
        <v>149</v>
      </c>
      <c r="J60" s="21" t="s">
        <v>275</v>
      </c>
      <c r="K60" s="21" t="s">
        <v>194</v>
      </c>
      <c r="L60" s="21" t="s">
        <v>651</v>
      </c>
      <c r="M60" s="25" t="s">
        <v>567</v>
      </c>
      <c r="N60" s="12">
        <v>1</v>
      </c>
      <c r="O60" s="12">
        <v>1</v>
      </c>
      <c r="P60" s="12">
        <v>3</v>
      </c>
      <c r="Q60" s="25" t="s">
        <v>328</v>
      </c>
      <c r="R60" s="21" t="s">
        <v>386</v>
      </c>
      <c r="S60" s="21" t="s">
        <v>194</v>
      </c>
      <c r="T60" s="21" t="s">
        <v>650</v>
      </c>
      <c r="U60" s="25" t="s">
        <v>623</v>
      </c>
      <c r="V60" s="12">
        <v>1</v>
      </c>
      <c r="W60" s="12">
        <v>1</v>
      </c>
      <c r="X60" s="12">
        <v>3</v>
      </c>
      <c r="Y60" s="25" t="s">
        <v>149</v>
      </c>
      <c r="Z60" s="21" t="s">
        <v>432</v>
      </c>
      <c r="AA60" s="21" t="s">
        <v>194</v>
      </c>
      <c r="AB60" s="21" t="s">
        <v>650</v>
      </c>
      <c r="AC60" s="25" t="s">
        <v>445</v>
      </c>
      <c r="AD60" s="12">
        <v>1</v>
      </c>
      <c r="AE60" s="12">
        <v>1</v>
      </c>
      <c r="AF60" s="12">
        <v>3</v>
      </c>
      <c r="AG60" s="21" t="s">
        <v>505</v>
      </c>
      <c r="AH60" s="24" t="s">
        <v>508</v>
      </c>
      <c r="AI60" s="21" t="s">
        <v>192</v>
      </c>
      <c r="AJ60" s="21" t="s">
        <v>650</v>
      </c>
      <c r="AK60" s="21" t="s">
        <v>643</v>
      </c>
      <c r="AL60" s="12">
        <v>1</v>
      </c>
      <c r="AM60" s="12">
        <v>0</v>
      </c>
      <c r="AN60" s="12">
        <v>1</v>
      </c>
    </row>
    <row r="62" spans="1:40" ht="15" customHeight="1" x14ac:dyDescent="0.2">
      <c r="A62" s="35"/>
      <c r="B62" s="35"/>
      <c r="C62" s="35"/>
      <c r="D62" s="35"/>
      <c r="E62" s="35"/>
      <c r="F62" s="35"/>
      <c r="G62" s="35"/>
      <c r="H62" s="35"/>
    </row>
  </sheetData>
  <mergeCells count="7">
    <mergeCell ref="AG1:AN1"/>
    <mergeCell ref="A62:H62"/>
    <mergeCell ref="A1:C1"/>
    <mergeCell ref="D1:H1"/>
    <mergeCell ref="I1:P1"/>
    <mergeCell ref="Q1:X1"/>
    <mergeCell ref="Y1:AF1"/>
  </mergeCells>
  <phoneticPr fontId="9" type="noConversion"/>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5"/>
  <sheetViews>
    <sheetView topLeftCell="A3" zoomScaleNormal="100" workbookViewId="0">
      <selection activeCell="A19" sqref="A19:E19"/>
    </sheetView>
  </sheetViews>
  <sheetFormatPr baseColWidth="10" defaultColWidth="8.6640625" defaultRowHeight="15" x14ac:dyDescent="0.2"/>
  <cols>
    <col min="1" max="1" width="30" customWidth="1"/>
    <col min="2" max="5" width="18" customWidth="1"/>
  </cols>
  <sheetData>
    <row r="1" spans="1:5" ht="27.75" customHeight="1" x14ac:dyDescent="0.2">
      <c r="A1" s="42" t="s">
        <v>79</v>
      </c>
      <c r="B1" s="42"/>
      <c r="C1" s="42"/>
      <c r="D1" s="42"/>
      <c r="E1" s="42"/>
    </row>
    <row r="2" spans="1:5" ht="21.75" customHeight="1" x14ac:dyDescent="0.2">
      <c r="A2" s="13" t="s">
        <v>80</v>
      </c>
      <c r="B2" s="14" t="s">
        <v>81</v>
      </c>
      <c r="C2" s="15" t="s">
        <v>82</v>
      </c>
      <c r="D2" s="16" t="s">
        <v>83</v>
      </c>
      <c r="E2" s="17" t="s">
        <v>84</v>
      </c>
    </row>
    <row r="3" spans="1:5" ht="19.5" customHeight="1" x14ac:dyDescent="0.2">
      <c r="A3" s="41" t="s">
        <v>647</v>
      </c>
      <c r="B3" s="41"/>
      <c r="C3" s="41"/>
      <c r="D3" s="41"/>
      <c r="E3" s="41"/>
    </row>
    <row r="4" spans="1:5" ht="15.75" customHeight="1" x14ac:dyDescent="0.2">
      <c r="A4" s="18" t="s">
        <v>85</v>
      </c>
      <c r="B4" s="19">
        <f>SUMPRODUCT(('Evaluation Data'!K3:K60='Evaluation Data'!F3:F60)*1)/58</f>
        <v>0.77586206896551724</v>
      </c>
      <c r="C4" s="19">
        <f>SUMPRODUCT(('Evaluation Data'!S3:S60='Evaluation Data'!F3:F60)*1)/58</f>
        <v>0.75862068965517238</v>
      </c>
      <c r="D4" s="19">
        <f>SUMPRODUCT(('Evaluation Data'!AA3:AA60='Evaluation Data'!F3:F60)*1)/58</f>
        <v>0.63793103448275867</v>
      </c>
      <c r="E4" s="19">
        <f>SUMPRODUCT(('Evaluation Data'!AI3:AI60='Evaluation Data'!F3:F60)*1)/58</f>
        <v>0.56896551724137934</v>
      </c>
    </row>
    <row r="5" spans="1:5" ht="15.75" customHeight="1" x14ac:dyDescent="0.2">
      <c r="A5" s="18" t="s">
        <v>86</v>
      </c>
      <c r="B5" s="19">
        <f>SUMPRODUCT(('Evaluation Data'!L3:L60='Evaluation Data'!G3:G60)*1)/58</f>
        <v>0.65517241379310343</v>
      </c>
      <c r="C5" s="19">
        <f>SUMPRODUCT(('Evaluation Data'!T3:T60='Evaluation Data'!G3:G60)*1)/58</f>
        <v>0.82758620689655171</v>
      </c>
      <c r="D5" s="19">
        <f>SUMPRODUCT(('Evaluation Data'!AB3:AB60='Evaluation Data'!G3:G60)*1)/58</f>
        <v>0.77586206896551724</v>
      </c>
      <c r="E5" s="19">
        <f>SUMPRODUCT(('Evaluation Data'!AJ3:AJ60='Evaluation Data'!G3:G60)*1)/58</f>
        <v>0.81034482758620685</v>
      </c>
    </row>
    <row r="7" spans="1:5" ht="19.5" customHeight="1" x14ac:dyDescent="0.2">
      <c r="A7" s="41" t="s">
        <v>648</v>
      </c>
      <c r="B7" s="41"/>
      <c r="C7" s="41"/>
      <c r="D7" s="41"/>
      <c r="E7" s="41"/>
    </row>
    <row r="8" spans="1:5" ht="15.75" customHeight="1" x14ac:dyDescent="0.2">
      <c r="A8" s="18" t="s">
        <v>87</v>
      </c>
      <c r="B8" s="19">
        <f>IFERROR(SUM('Evaluation Data'!N3:N60)/58,"–")</f>
        <v>1</v>
      </c>
      <c r="C8" s="19">
        <f>IFERROR(SUM('Evaluation Data'!V3:V60)/58,"–")</f>
        <v>0.98275862068965514</v>
      </c>
      <c r="D8" s="19">
        <f>IFERROR(SUM('Evaluation Data'!AD3:AD60)/58,"–")</f>
        <v>0.96551724137931039</v>
      </c>
      <c r="E8" s="19">
        <f>IFERROR(SUM('Evaluation Data'!AL3:AL60)/58,"–")</f>
        <v>0.94827586206896552</v>
      </c>
    </row>
    <row r="9" spans="1:5" ht="15.75" customHeight="1" x14ac:dyDescent="0.2">
      <c r="A9" s="18" t="s">
        <v>88</v>
      </c>
      <c r="B9" s="19">
        <f>IFERROR(SUM('Evaluation Data'!O3:O60)/58,"–")</f>
        <v>1</v>
      </c>
      <c r="C9" s="19">
        <f>IFERROR(SUM('Evaluation Data'!W3:W60)/58,"–")</f>
        <v>0.98275862068965514</v>
      </c>
      <c r="D9" s="19">
        <f>IFERROR(SUM('Evaluation Data'!AE3:AE60)/58,"–")</f>
        <v>1</v>
      </c>
      <c r="E9" s="19">
        <f>IFERROR(SUM('Evaluation Data'!AM3:AM60)/58,"–")</f>
        <v>0.53448275862068961</v>
      </c>
    </row>
    <row r="11" spans="1:5" ht="19.5" customHeight="1" x14ac:dyDescent="0.2">
      <c r="A11" s="41" t="s">
        <v>649</v>
      </c>
      <c r="B11" s="41"/>
      <c r="C11" s="41"/>
      <c r="D11" s="41"/>
      <c r="E11" s="41"/>
    </row>
    <row r="12" spans="1:5" ht="15.75" customHeight="1" x14ac:dyDescent="0.2">
      <c r="A12" s="18" t="s">
        <v>89</v>
      </c>
      <c r="B12" s="20">
        <f>IFERROR(SUMPRODUCT(ABS((('Evaluation Data'!K3:K60="gut")*3+('Evaluation Data'!K3:K60="mittel")*2+('Evaluation Data'!K3:K60="schlecht")*1)-(('Evaluation Data'!F3:F60="gut")*3+('Evaluation Data'!F3:F60="mittel")*2+('Evaluation Data'!F3:F60="schlecht")*1)))/58,"–")</f>
        <v>0.2413793103448276</v>
      </c>
      <c r="C12" s="20">
        <f>IFERROR(SUMPRODUCT(ABS((('Evaluation Data'!S3:S60="gut")*3+('Evaluation Data'!S3:S60="mittel")*2+('Evaluation Data'!S3:S60="schlecht")*1)-(('Evaluation Data'!F3:F60="gut")*3+('Evaluation Data'!F3:F60="mittel")*2+('Evaluation Data'!F3:F60="schlecht")*1)))/58,"–")</f>
        <v>0.27586206896551724</v>
      </c>
      <c r="D12" s="20">
        <f>IFERROR(SUMPRODUCT(ABS((('Evaluation Data'!AA3:AA60="gut")*3+('Evaluation Data'!AA3:AA60="mittel")*2+('Evaluation Data'!AA3:AA60="schlecht")*1)-(('Evaluation Data'!F3:F60="gut")*3+('Evaluation Data'!F3:F60="mittel")*2+('Evaluation Data'!F3:F60="schlecht")*1)))/58,"–")</f>
        <v>0.39655172413793105</v>
      </c>
      <c r="E12" s="20">
        <f>IFERROR(SUMPRODUCT(ABS((('Evaluation Data'!AI3:AI60="gut")*3+('Evaluation Data'!AI3:AI60="mittel")*2+('Evaluation Data'!AI3:AI60="schlecht")*1)-(('Evaluation Data'!F3:F60="gut")*3+('Evaluation Data'!F3:F60="mittel")*2+('Evaluation Data'!F3:F60="schlecht")*1)))/58,"–")</f>
        <v>0.60344827586206895</v>
      </c>
    </row>
    <row r="14" spans="1:5" ht="19.5" customHeight="1" x14ac:dyDescent="0.2">
      <c r="A14" s="41" t="s">
        <v>660</v>
      </c>
      <c r="B14" s="41"/>
      <c r="C14" s="41"/>
      <c r="D14" s="41"/>
      <c r="E14" s="41"/>
    </row>
    <row r="15" spans="1:5" ht="15.75" customHeight="1" x14ac:dyDescent="0.2">
      <c r="A15" s="18" t="s">
        <v>90</v>
      </c>
      <c r="B15" s="20">
        <f>IFERROR(SUMPRODUCT(('Evaluation Data'!L3:L60="Ja")*('Evaluation Data'!G3:G60="Ja"))/SUMPRODUCT(('Evaluation Data'!L3:L60="Ja")*1),"–")</f>
        <v>0.88571428571428568</v>
      </c>
      <c r="C15" s="20">
        <f>IFERROR(SUMPRODUCT(('Evaluation Data'!T3:T60="Ja")*('Evaluation Data'!G3:G60="Ja"))/SUMPRODUCT(('Evaluation Data'!T3:T60="Ja")*1),"–")</f>
        <v>0.86274509803921573</v>
      </c>
      <c r="D15" s="20">
        <f>IFERROR(SUMPRODUCT(('Evaluation Data'!AB3:AB60="Ja")*('Evaluation Data'!G3:G60="Ja"))/SUMPRODUCT(('Evaluation Data'!AB3:AB60="Ja")*1),"–")</f>
        <v>0.82692307692307687</v>
      </c>
      <c r="E15" s="20">
        <f>IFERROR(SUMPRODUCT(('Evaluation Data'!AJ3:AJ60="Ja")*('Evaluation Data'!G3:G60="Ja"))/SUMPRODUCT(('Evaluation Data'!AJ3:AJ60="Ja")*1),"–")</f>
        <v>0.83333333333333337</v>
      </c>
    </row>
    <row r="16" spans="1:5" ht="15.75" customHeight="1" x14ac:dyDescent="0.2">
      <c r="A16" s="18" t="s">
        <v>91</v>
      </c>
      <c r="B16" s="20">
        <f>IFERROR(SUMPRODUCT(('Evaluation Data'!L3:L60="Ja")*('Evaluation Data'!G3:G60="Ja"))/SUMPRODUCT(('Evaluation Data'!G3:G60="Ja")*1),"–")</f>
        <v>0.65957446808510634</v>
      </c>
      <c r="C16" s="20">
        <f>IFERROR(SUMPRODUCT(('Evaluation Data'!T3:T60="Ja")*('Evaluation Data'!G3:G60="Ja"))/SUMPRODUCT(('Evaluation Data'!G3:G60="Ja")*1),"–")</f>
        <v>0.93617021276595747</v>
      </c>
      <c r="D16" s="20">
        <f>IFERROR(SUMPRODUCT(('Evaluation Data'!AB3:AB60="Ja")*('Evaluation Data'!G3:G60="Ja"))/SUMPRODUCT(('Evaluation Data'!G3:G60="Ja")*1),"–")</f>
        <v>0.91489361702127658</v>
      </c>
      <c r="E16" s="20">
        <f>IFERROR(SUMPRODUCT(('Evaluation Data'!AJ3:AJ60="Ja")*('Evaluation Data'!G3:G60="Ja"))/SUMPRODUCT(('Evaluation Data'!G3:G60="Ja")*1),"–")</f>
        <v>0.95744680851063835</v>
      </c>
    </row>
    <row r="17" spans="1:5" ht="15.75" customHeight="1" x14ac:dyDescent="0.2">
      <c r="A17" s="18" t="s">
        <v>92</v>
      </c>
      <c r="B17" s="20">
        <f>IFERROR(2*B15*B16/(B15+B16),"–")</f>
        <v>0.75609756097560976</v>
      </c>
      <c r="C17" s="20">
        <f>IFERROR(2*C15*C16/(C15+C16),"–")</f>
        <v>0.89795918367346939</v>
      </c>
      <c r="D17" s="20">
        <f>IFERROR(2*D15*D16/(D15+D16),"–")</f>
        <v>0.86868686868686862</v>
      </c>
      <c r="E17" s="20">
        <f>IFERROR(2*E15*E16/(E15+E16),"–")</f>
        <v>0.8910891089108911</v>
      </c>
    </row>
    <row r="19" spans="1:5" ht="19.5" customHeight="1" x14ac:dyDescent="0.2">
      <c r="A19" s="41" t="s">
        <v>661</v>
      </c>
      <c r="B19" s="41"/>
      <c r="C19" s="41"/>
      <c r="D19" s="41"/>
      <c r="E19" s="41"/>
    </row>
    <row r="20" spans="1:5" ht="15.75" customHeight="1" x14ac:dyDescent="0.2">
      <c r="A20" s="18" t="s">
        <v>93</v>
      </c>
      <c r="B20" s="20">
        <f>IFERROR(AVERAGE('Evaluation Data'!P3:P60),"–")</f>
        <v>2.6896551724137931</v>
      </c>
      <c r="C20" s="20">
        <f>IFERROR(AVERAGE('Evaluation Data'!X3:X60),"–")</f>
        <v>2.8620689655172415</v>
      </c>
      <c r="D20" s="20">
        <f>IFERROR(AVERAGE('Evaluation Data'!AF3:AF60),"–")</f>
        <v>2.6896551724137931</v>
      </c>
      <c r="E20" s="20">
        <f>IFERROR(AVERAGE('Evaluation Data'!AN3:AN60),"–")</f>
        <v>2.4137931034482758</v>
      </c>
    </row>
    <row r="22" spans="1:5" ht="19.5" customHeight="1" x14ac:dyDescent="0.2">
      <c r="A22" s="41"/>
      <c r="B22" s="41"/>
      <c r="C22" s="41"/>
      <c r="D22" s="41"/>
      <c r="E22" s="41"/>
    </row>
    <row r="23" spans="1:5" ht="15.75" customHeight="1" x14ac:dyDescent="0.2">
      <c r="A23" s="18"/>
      <c r="B23" s="20"/>
      <c r="C23" s="20"/>
      <c r="D23" s="20"/>
      <c r="E23" s="20"/>
    </row>
    <row r="24" spans="1:5" ht="15.75" customHeight="1" x14ac:dyDescent="0.2">
      <c r="A24" s="18"/>
      <c r="B24" s="20"/>
      <c r="C24" s="20"/>
      <c r="D24" s="20"/>
      <c r="E24" s="20"/>
    </row>
    <row r="25" spans="1:5" ht="15.75" customHeight="1" x14ac:dyDescent="0.2">
      <c r="A25" s="18"/>
      <c r="B25" s="20"/>
      <c r="C25" s="20"/>
      <c r="D25" s="20"/>
      <c r="E25" s="20"/>
    </row>
  </sheetData>
  <mergeCells count="7">
    <mergeCell ref="A19:E19"/>
    <mergeCell ref="A22:E22"/>
    <mergeCell ref="A1:E1"/>
    <mergeCell ref="A3:E3"/>
    <mergeCell ref="A7:E7"/>
    <mergeCell ref="A11:E11"/>
    <mergeCell ref="A14:E14"/>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Evaluation Data</vt:lpstr>
      <vt:lpstr>Metriken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Arezoo Darvishi</cp:lastModifiedBy>
  <cp:revision>0</cp:revision>
  <dcterms:created xsi:type="dcterms:W3CDTF">2026-05-21T09:45:34Z</dcterms:created>
  <dcterms:modified xsi:type="dcterms:W3CDTF">2026-07-03T22:27:53Z</dcterms:modified>
  <dc:language>en-US</dc:language>
</cp:coreProperties>
</file>